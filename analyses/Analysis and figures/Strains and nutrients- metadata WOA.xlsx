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ras\OneDrive\Desktop\Analysis for paper\Python Code\"/>
    </mc:Choice>
  </mc:AlternateContent>
  <xr:revisionPtr revIDLastSave="0" documentId="13_ncr:1_{58FC5B2A-07E3-4DA5-A80A-FC559E9140C3}" xr6:coauthVersionLast="47" xr6:coauthVersionMax="47" xr10:uidLastSave="{00000000-0000-0000-0000-000000000000}"/>
  <bookViews>
    <workbookView xWindow="-108" yWindow="-108" windowWidth="23256" windowHeight="12456" xr2:uid="{6C9F37B0-1E2B-41FD-BE55-0397EE9EC49B}"/>
  </bookViews>
  <sheets>
    <sheet name="Sheet1" sheetId="1" r:id="rId1"/>
    <sheet name="monthely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/>
  <c r="O6" i="1"/>
</calcChain>
</file>

<file path=xl/sharedStrings.xml><?xml version="1.0" encoding="utf-8"?>
<sst xmlns="http://schemas.openxmlformats.org/spreadsheetml/2006/main" count="420" uniqueCount="215">
  <si>
    <t>Strain</t>
  </si>
  <si>
    <t>Isolation date</t>
  </si>
  <si>
    <t>Cruise/ ship details</t>
  </si>
  <si>
    <t>N- related</t>
  </si>
  <si>
    <t>P-related</t>
  </si>
  <si>
    <t>4 Jan. 1989</t>
  </si>
  <si>
    <t>leg2 of RRS discovery cruise D179</t>
  </si>
  <si>
    <t>Umol/l</t>
  </si>
  <si>
    <t>MIT9515</t>
  </si>
  <si>
    <t>Jun. 1995</t>
  </si>
  <si>
    <t>No cruise number available Gabrielle Rocap and Chisholm</t>
  </si>
  <si>
    <t>17. Jul. 1993</t>
  </si>
  <si>
    <t>'on the ship'- Lisa</t>
  </si>
  <si>
    <t>MIT9215</t>
  </si>
  <si>
    <t>Oct. 1992</t>
  </si>
  <si>
    <t>R.V. Thompson cruise 12</t>
  </si>
  <si>
    <t>MIT1314</t>
  </si>
  <si>
    <t xml:space="preserve"> 2013Jun. </t>
  </si>
  <si>
    <t>HOE-PhoR 1</t>
  </si>
  <si>
    <t>umol/kg</t>
  </si>
  <si>
    <t>10. Jul. 1993</t>
  </si>
  <si>
    <t>MIT9202</t>
  </si>
  <si>
    <t>Sep. 1992</t>
  </si>
  <si>
    <t xml:space="preserve">No available data </t>
  </si>
  <si>
    <t>-</t>
  </si>
  <si>
    <t>AS9601</t>
  </si>
  <si>
    <t>Nov. 1995</t>
  </si>
  <si>
    <t>R/V Thomas G. Thompsonat -JGOFS, cruise 053</t>
  </si>
  <si>
    <t>SB</t>
  </si>
  <si>
    <t>7?</t>
  </si>
  <si>
    <t>MIT0604</t>
  </si>
  <si>
    <t>May. 2006</t>
  </si>
  <si>
    <t>HOT cruise 181</t>
  </si>
  <si>
    <t>NATL1A</t>
  </si>
  <si>
    <t>24 Apr. 1990</t>
  </si>
  <si>
    <t>cruise No. 90-001 of the C.S. Hudson- no data available – D. Vaulot</t>
  </si>
  <si>
    <t>NATL2A</t>
  </si>
  <si>
    <t>1 Apr. 1990</t>
  </si>
  <si>
    <t>D. Vaulot</t>
  </si>
  <si>
    <t>PAC1</t>
  </si>
  <si>
    <t xml:space="preserve">1992Apr. </t>
  </si>
  <si>
    <t>HOT cruise 36</t>
  </si>
  <si>
    <t>MIT1327</t>
  </si>
  <si>
    <t>Jun, 2013</t>
  </si>
  <si>
    <t>Jul. 1993 17</t>
  </si>
  <si>
    <t>Clade</t>
  </si>
  <si>
    <t>Isolated from</t>
  </si>
  <si>
    <t>Depth (m)</t>
  </si>
  <si>
    <t>Coordinates</t>
  </si>
  <si>
    <t>HLI</t>
  </si>
  <si>
    <t>Mediterranean Sea</t>
  </si>
  <si>
    <t>43° 12'N  6° 52'E</t>
  </si>
  <si>
    <t>HL I</t>
  </si>
  <si>
    <t>Tropical Pacific</t>
  </si>
  <si>
    <t>5.7°S  107.1°W</t>
  </si>
  <si>
    <t>HL II</t>
  </si>
  <si>
    <t>Jul. 1993</t>
  </si>
  <si>
    <t>Gulf Stream</t>
  </si>
  <si>
    <t>37.5'N  68.2W</t>
  </si>
  <si>
    <t>Equatorial Pacific</t>
  </si>
  <si>
    <t>0° 140°W</t>
  </si>
  <si>
    <t>Station ALOHA/ North Pacific</t>
  </si>
  <si>
    <t>22.75°N 158°W</t>
  </si>
  <si>
    <t>Sargasso Sea</t>
  </si>
  <si>
    <t>34.8'N  66°.2'W</t>
  </si>
  <si>
    <t>12°S  145.4 °W</t>
  </si>
  <si>
    <t>Arabian Sea</t>
  </si>
  <si>
    <t>19°12N  67.10°E*</t>
  </si>
  <si>
    <t>Western Pacific</t>
  </si>
  <si>
    <t>35°N  138.3°E</t>
  </si>
  <si>
    <t>Station ALOHA/North Pacific</t>
  </si>
  <si>
    <t>LL I</t>
  </si>
  <si>
    <t>North Atlantic</t>
  </si>
  <si>
    <t>37.4°N  40°'W</t>
  </si>
  <si>
    <t>39°N  49.3°W</t>
  </si>
  <si>
    <t>LL IV</t>
  </si>
  <si>
    <t>MED4</t>
  </si>
  <si>
    <t>20-20.2 *</t>
  </si>
  <si>
    <t xml:space="preserve">21 * </t>
  </si>
  <si>
    <t>MIT9312</t>
  </si>
  <si>
    <t>MIT9301</t>
  </si>
  <si>
    <t>MIT9313</t>
  </si>
  <si>
    <t>0.5-1.5 *</t>
  </si>
  <si>
    <t>0.3-0.35 *</t>
  </si>
  <si>
    <t>145-155</t>
  </si>
  <si>
    <t>Depth range considered (m)</t>
  </si>
  <si>
    <t>165-185</t>
  </si>
  <si>
    <t>40-60</t>
  </si>
  <si>
    <t>0-15</t>
  </si>
  <si>
    <t>69-89</t>
  </si>
  <si>
    <t>90-110</t>
  </si>
  <si>
    <t>5 meters each side (all others are 10m)</t>
  </si>
  <si>
    <t>* Data estimated based on papers.</t>
  </si>
  <si>
    <t>References</t>
  </si>
  <si>
    <t>Units</t>
  </si>
  <si>
    <t>Nutrients/temperture</t>
  </si>
  <si>
    <t>Isolation 1</t>
  </si>
  <si>
    <t>Isolation 2</t>
  </si>
  <si>
    <t>Isolation 3</t>
  </si>
  <si>
    <t>Isolation 4</t>
  </si>
  <si>
    <t>Water pollution report.</t>
  </si>
  <si>
    <t>Moore, L. R., Rocap, G., &amp; Chisholm, S. W. (1998). Physiology and molecular phylogeny of coexisting Prochlorococcus ecotypes. Nature, 393(6684), 464-467.</t>
  </si>
  <si>
    <t>Becker, J. W., Hogle, S. L., Rosendo, K., &amp; Chisholm, S. W. (2019). Co-culture and biogeography of Prochlorococcus and SAR11. The ISME journal, 13(6), 1506-1519.</t>
  </si>
  <si>
    <t>https://hahana.soest.hawaii.edu/hoephor/hoephor.html</t>
  </si>
  <si>
    <t>Kettler, G. C., Martiny, A. C., Huang, K., Zucker, J., Coleman, M. L., Rodrigue, S., ... &amp; Chisholm, S. W. (2007). Patterns and implications of gene gain and loss in the evolution of Prochlorococcus. PLoS genetics, 3(12), e231.</t>
  </si>
  <si>
    <t>Shalapyonok, A., Olson, R. J., &amp; Shalapyonok, L. S. (1998). Ultradian growth in Prochlorococcus spp. Applied and environmental microbiology, 64(3), 1066-1069.</t>
  </si>
  <si>
    <t>Shimada, A., Nishijima, M., &amp; Maruyama, T. (1995). Seasonal appearance of Prochlorococcus in Suruga Bay, Japan in 1992–1993. Journal of Oceanography, 51, 289-300.</t>
  </si>
  <si>
    <t>https://hahana.soest.hawaii.edu/hot/hot-dogs/bextraction.html</t>
  </si>
  <si>
    <t>Kettler, G. C., Martiny, A. C., Huang, K., Zucker, J., Coleman, M. L., Rodrigue, S., ... &amp; Chisholm, S. W. (2007). Patterns and implications of gene gain and loss in the evolution of Prochlorococcus. PLoS genetics, 3(12), e231.</t>
  </si>
  <si>
    <r>
      <t>Kettler, G. C., Martiny, A. C., Huang, K., Zucker, J., Coleman, M. L., Rodrigue, S., ... &amp; Chisholm, S. W. (2007). Patterns and implications of gene gain and loss in the evolution of Prochlorococcus. </t>
    </r>
    <r>
      <rPr>
        <i/>
        <sz val="11"/>
        <color rgb="FF222222"/>
        <rFont val="Calibri Light"/>
        <family val="1"/>
        <scheme val="major"/>
      </rPr>
      <t>PLoS genetics</t>
    </r>
    <r>
      <rPr>
        <sz val="11"/>
        <color rgb="FF222222"/>
        <rFont val="Calibri Light"/>
        <family val="1"/>
        <scheme val="major"/>
      </rPr>
      <t>, </t>
    </r>
    <r>
      <rPr>
        <i/>
        <sz val="11"/>
        <color rgb="FF222222"/>
        <rFont val="Calibri Light"/>
        <family val="1"/>
        <scheme val="major"/>
      </rPr>
      <t>3</t>
    </r>
    <r>
      <rPr>
        <sz val="11"/>
        <color rgb="FF222222"/>
        <rFont val="Calibri Light"/>
        <family val="1"/>
        <scheme val="major"/>
      </rPr>
      <t>(12), e231.</t>
    </r>
  </si>
  <si>
    <r>
      <t>Rocap, G., Larimer, F. W., Lamerdin, J., Malfatti, S., Chain, P., Ahlgren, N. A., ... &amp; Chisholm, S. W. (2003). Genome divergence in two Prochlorococcus ecotypes reflects oceanic niche differentiation. </t>
    </r>
    <r>
      <rPr>
        <i/>
        <sz val="11"/>
        <color rgb="FF222222"/>
        <rFont val="Calibri Light"/>
        <family val="1"/>
        <scheme val="major"/>
      </rPr>
      <t>Nature</t>
    </r>
    <r>
      <rPr>
        <sz val="11"/>
        <color rgb="FF222222"/>
        <rFont val="Calibri Light"/>
        <family val="1"/>
        <scheme val="major"/>
      </rPr>
      <t>, </t>
    </r>
    <r>
      <rPr>
        <i/>
        <sz val="11"/>
        <color rgb="FF222222"/>
        <rFont val="Calibri Light"/>
        <family val="1"/>
        <scheme val="major"/>
      </rPr>
      <t>424</t>
    </r>
    <r>
      <rPr>
        <sz val="11"/>
        <color rgb="FF222222"/>
        <rFont val="Calibri Light"/>
        <family val="1"/>
        <scheme val="major"/>
      </rPr>
      <t>(6952), 1042-1047.</t>
    </r>
  </si>
  <si>
    <r>
      <t>Moore, L. R., Goericke, R., &amp; Chisholm, S. W. (1995). Comparative physiology of Synechococcus and Prochlorococcus: influence of light and temperature on growth, pigments, fluorescence and absorptive properties. </t>
    </r>
    <r>
      <rPr>
        <i/>
        <sz val="11"/>
        <color rgb="FF222222"/>
        <rFont val="Calibri Light"/>
        <family val="1"/>
        <scheme val="major"/>
      </rPr>
      <t>Marine Ecology Progress Series</t>
    </r>
    <r>
      <rPr>
        <sz val="11"/>
        <color rgb="FF222222"/>
        <rFont val="Calibri Light"/>
        <family val="1"/>
        <scheme val="major"/>
      </rPr>
      <t>, 259-275.</t>
    </r>
  </si>
  <si>
    <r>
      <t>Partensky, F., Hoepffner, N., Li, W. K., Ulloa, O., &amp; Vaulot, D. (1993). Photoacclimation of Prochlorococcus sp.(Prochlorophyta) strains isolated from the North Atlantic and the Mediterranean Sea. </t>
    </r>
    <r>
      <rPr>
        <i/>
        <sz val="11"/>
        <color rgb="FF222222"/>
        <rFont val="Calibri Light"/>
        <family val="1"/>
        <scheme val="major"/>
      </rPr>
      <t>Plant Physiology</t>
    </r>
    <r>
      <rPr>
        <sz val="11"/>
        <color rgb="FF222222"/>
        <rFont val="Calibri Light"/>
        <family val="1"/>
        <scheme val="major"/>
      </rPr>
      <t>, </t>
    </r>
    <r>
      <rPr>
        <i/>
        <sz val="11"/>
        <color rgb="FF222222"/>
        <rFont val="Calibri Light"/>
        <family val="1"/>
        <scheme val="major"/>
      </rPr>
      <t>101</t>
    </r>
    <r>
      <rPr>
        <sz val="11"/>
        <color rgb="FF222222"/>
        <rFont val="Calibri Light"/>
        <family val="1"/>
        <scheme val="major"/>
      </rPr>
      <t>(1), 285-296.</t>
    </r>
  </si>
  <si>
    <r>
      <t>Rocap, G., Distel, D. L., Waterbury, J. B., &amp; Chisholm, S. W. (2002). Resolution of Prochlorococcus and Synechococcus ecotypes by using 16S-23S ribosomal DNA internal transcribed spacer sequences. </t>
    </r>
    <r>
      <rPr>
        <i/>
        <sz val="11"/>
        <color rgb="FF222222"/>
        <rFont val="Calibri Light"/>
        <family val="1"/>
        <scheme val="major"/>
      </rPr>
      <t>Applied and Environmental Microbiology</t>
    </r>
    <r>
      <rPr>
        <sz val="11"/>
        <color rgb="FF222222"/>
        <rFont val="Calibri Light"/>
        <family val="1"/>
        <scheme val="major"/>
      </rPr>
      <t>, </t>
    </r>
    <r>
      <rPr>
        <i/>
        <sz val="11"/>
        <color rgb="FF222222"/>
        <rFont val="Calibri Light"/>
        <family val="1"/>
        <scheme val="major"/>
      </rPr>
      <t>68</t>
    </r>
    <r>
      <rPr>
        <sz val="11"/>
        <color rgb="FF222222"/>
        <rFont val="Calibri Light"/>
        <family val="1"/>
        <scheme val="major"/>
      </rPr>
      <t>(3), 1180-1191.</t>
    </r>
  </si>
  <si>
    <r>
      <t>Moore, L. R., Rocap, G., &amp; Chisholm, S. W. (1998). Physiology and molecular phylogeny of coexisting Prochlorococcus ecotypes. </t>
    </r>
    <r>
      <rPr>
        <i/>
        <sz val="11"/>
        <color rgb="FF222222"/>
        <rFont val="Calibri Light"/>
        <family val="1"/>
        <scheme val="major"/>
      </rPr>
      <t>Nature</t>
    </r>
    <r>
      <rPr>
        <sz val="11"/>
        <color rgb="FF222222"/>
        <rFont val="Calibri Light"/>
        <family val="1"/>
        <scheme val="major"/>
      </rPr>
      <t>, </t>
    </r>
    <r>
      <rPr>
        <i/>
        <sz val="11"/>
        <color rgb="FF222222"/>
        <rFont val="Calibri Light"/>
        <family val="1"/>
        <scheme val="major"/>
      </rPr>
      <t>393</t>
    </r>
    <r>
      <rPr>
        <sz val="11"/>
        <color rgb="FF222222"/>
        <rFont val="Calibri Light"/>
        <family val="1"/>
        <scheme val="major"/>
      </rPr>
      <t>(6684), 464-467.</t>
    </r>
  </si>
  <si>
    <r>
      <t>Coleman, M. L., Sullivan, M. B., Martiny, A. C., Steglich, C., Barry, K., DeLong, E. F., &amp; Chisholm, S. W. (2006). Genomic islands and the ecology and evolution of Prochlorococcus. </t>
    </r>
    <r>
      <rPr>
        <i/>
        <sz val="11"/>
        <color rgb="FF222222"/>
        <rFont val="Calibri Light"/>
        <family val="1"/>
        <scheme val="major"/>
      </rPr>
      <t>science</t>
    </r>
    <r>
      <rPr>
        <sz val="11"/>
        <color rgb="FF222222"/>
        <rFont val="Calibri Light"/>
        <family val="1"/>
        <scheme val="major"/>
      </rPr>
      <t>, </t>
    </r>
    <r>
      <rPr>
        <i/>
        <sz val="11"/>
        <color rgb="FF222222"/>
        <rFont val="Calibri Light"/>
        <family val="1"/>
        <scheme val="major"/>
      </rPr>
      <t>311</t>
    </r>
    <r>
      <rPr>
        <sz val="11"/>
        <color rgb="FF222222"/>
        <rFont val="Calibri Light"/>
        <family val="1"/>
        <scheme val="major"/>
      </rPr>
      <t>(5768), 1768-1770.</t>
    </r>
  </si>
  <si>
    <r>
      <t>Moore, L. R., &amp; Chisholm, S. W. (1999). Photophysiology of the marine cyanobacterium Prochlorococcus: ecotypic differences among cultured isolates. </t>
    </r>
    <r>
      <rPr>
        <i/>
        <sz val="11"/>
        <color rgb="FF222222"/>
        <rFont val="Calibri Light"/>
        <family val="1"/>
        <scheme val="major"/>
      </rPr>
      <t>Limnology and Oceanography</t>
    </r>
    <r>
      <rPr>
        <sz val="11"/>
        <color rgb="FF222222"/>
        <rFont val="Calibri Light"/>
        <family val="1"/>
        <scheme val="major"/>
      </rPr>
      <t>, </t>
    </r>
    <r>
      <rPr>
        <i/>
        <sz val="11"/>
        <color rgb="FF222222"/>
        <rFont val="Calibri Light"/>
        <family val="1"/>
        <scheme val="major"/>
      </rPr>
      <t>44</t>
    </r>
    <r>
      <rPr>
        <sz val="11"/>
        <color rgb="FF222222"/>
        <rFont val="Calibri Light"/>
        <family val="1"/>
        <scheme val="major"/>
      </rPr>
      <t>(3), 628-638.</t>
    </r>
  </si>
  <si>
    <r>
      <t>Binder, B. J., Chisholm, S. W., Olson, R. J., Frankel, S. L., &amp; Worden, A. Z. (1996). Dynamics of picophytoplankton, ultraphytoplankton and bacteria in the central equatorial Pacific. </t>
    </r>
    <r>
      <rPr>
        <i/>
        <sz val="11"/>
        <color rgb="FF222222"/>
        <rFont val="Calibri Light"/>
        <family val="1"/>
        <scheme val="major"/>
      </rPr>
      <t>Deep Sea Research Part II: Topical Studies in Oceanography</t>
    </r>
    <r>
      <rPr>
        <sz val="11"/>
        <color rgb="FF222222"/>
        <rFont val="Calibri Light"/>
        <family val="1"/>
        <scheme val="major"/>
      </rPr>
      <t>, </t>
    </r>
    <r>
      <rPr>
        <i/>
        <sz val="11"/>
        <color rgb="FF222222"/>
        <rFont val="Calibri Light"/>
        <family val="1"/>
        <scheme val="major"/>
      </rPr>
      <t>43</t>
    </r>
    <r>
      <rPr>
        <sz val="11"/>
        <color rgb="FF222222"/>
        <rFont val="Calibri Light"/>
        <family val="1"/>
        <scheme val="major"/>
      </rPr>
      <t>(4-6), 907-931.</t>
    </r>
  </si>
  <si>
    <r>
      <t>Biller, S. J., Berube, P. M., Berta-Thompson, J. W., Kelly, L., Roggensack, S. E., Awad, L., ... &amp; Chisholm, S. W. (2014). Genomes of diverse isolates of the marine cyanobacterium Prochlorococcus. </t>
    </r>
    <r>
      <rPr>
        <i/>
        <sz val="11"/>
        <color rgb="FF222222"/>
        <rFont val="Calibri Light"/>
        <family val="1"/>
        <scheme val="major"/>
      </rPr>
      <t>Scientific Data</t>
    </r>
    <r>
      <rPr>
        <sz val="11"/>
        <color rgb="FF222222"/>
        <rFont val="Calibri Light"/>
        <family val="1"/>
        <scheme val="major"/>
      </rPr>
      <t>, </t>
    </r>
    <r>
      <rPr>
        <i/>
        <sz val="11"/>
        <color rgb="FF222222"/>
        <rFont val="Calibri Light"/>
        <family val="1"/>
        <scheme val="major"/>
      </rPr>
      <t>1</t>
    </r>
    <r>
      <rPr>
        <sz val="11"/>
        <color rgb="FF222222"/>
        <rFont val="Calibri Light"/>
        <family val="1"/>
        <scheme val="major"/>
      </rPr>
      <t>(1), 1-11.</t>
    </r>
  </si>
  <si>
    <r>
      <t>Scanlan, D. J., Hess, W. R., Partensky, F., Newman, J., &amp; Vaulot, D. (1996). High degree of genetic variation in Prochlorococcus (Prochlorophyta) revealed by RFLP analysis. </t>
    </r>
    <r>
      <rPr>
        <i/>
        <sz val="11"/>
        <color rgb="FF222222"/>
        <rFont val="Calibri Light"/>
        <family val="1"/>
        <scheme val="major"/>
      </rPr>
      <t>European Journal of Phycology</t>
    </r>
    <r>
      <rPr>
        <sz val="11"/>
        <color rgb="FF222222"/>
        <rFont val="Calibri Light"/>
        <family val="1"/>
        <scheme val="major"/>
      </rPr>
      <t>, </t>
    </r>
    <r>
      <rPr>
        <i/>
        <sz val="11"/>
        <color rgb="FF222222"/>
        <rFont val="Calibri Light"/>
        <family val="1"/>
        <scheme val="major"/>
      </rPr>
      <t>31</t>
    </r>
    <r>
      <rPr>
        <sz val="11"/>
        <color rgb="FF222222"/>
        <rFont val="Calibri Light"/>
        <family val="1"/>
        <scheme val="major"/>
      </rPr>
      <t>(1), 1-9.</t>
    </r>
  </si>
  <si>
    <r>
      <t>Campbell, L., &amp; Vaulot, D. (1993). Photosynthetic picoplankton community structure in the subtropical North Pacific Ocean near Hawaii (station ALOHA). </t>
    </r>
    <r>
      <rPr>
        <i/>
        <sz val="11"/>
        <color rgb="FF222222"/>
        <rFont val="Calibri Light"/>
        <family val="1"/>
        <scheme val="major"/>
      </rPr>
      <t>Deep Sea Research Part I: Oceanographic Research Papers</t>
    </r>
    <r>
      <rPr>
        <sz val="11"/>
        <color rgb="FF222222"/>
        <rFont val="Calibri Light"/>
        <family val="1"/>
        <scheme val="major"/>
      </rPr>
      <t>, </t>
    </r>
    <r>
      <rPr>
        <i/>
        <sz val="11"/>
        <color rgb="FF222222"/>
        <rFont val="Calibri Light"/>
        <family val="1"/>
        <scheme val="major"/>
      </rPr>
      <t>40</t>
    </r>
    <r>
      <rPr>
        <sz val="11"/>
        <color rgb="FF222222"/>
        <rFont val="Calibri Light"/>
        <family val="1"/>
        <scheme val="major"/>
      </rPr>
      <t>(10), 2043-2060.</t>
    </r>
  </si>
  <si>
    <r>
      <t>Penno, S., Campbell, L., &amp; Hess, W. R. (2000). Presence of phycoerythrin in two strains of Prochlorococcus (cyanobacteria) isolated from the subtropical North Pacific Ocean. </t>
    </r>
    <r>
      <rPr>
        <i/>
        <sz val="11"/>
        <color rgb="FF222222"/>
        <rFont val="Calibri Light"/>
        <family val="1"/>
        <scheme val="major"/>
      </rPr>
      <t>Journal of Phycology</t>
    </r>
    <r>
      <rPr>
        <sz val="11"/>
        <color rgb="FF222222"/>
        <rFont val="Calibri Light"/>
        <family val="1"/>
        <scheme val="major"/>
      </rPr>
      <t>, </t>
    </r>
    <r>
      <rPr>
        <i/>
        <sz val="11"/>
        <color rgb="FF222222"/>
        <rFont val="Calibri Light"/>
        <family val="1"/>
        <scheme val="major"/>
      </rPr>
      <t>36</t>
    </r>
    <r>
      <rPr>
        <sz val="11"/>
        <color rgb="FF222222"/>
        <rFont val="Calibri Light"/>
        <family val="1"/>
        <scheme val="major"/>
      </rPr>
      <t>(4), 723-729.</t>
    </r>
  </si>
  <si>
    <r>
      <t>Cubillos-Ruiz, A., Berta-Thompson, J. W., Becker, J. W., Van Der Donk, W. A., &amp; Chisholm, S. W. (2017). Evolutionary radiation of lanthipeptides in marine cyanobacteria. </t>
    </r>
    <r>
      <rPr>
        <i/>
        <sz val="11"/>
        <color rgb="FF222222"/>
        <rFont val="Calibri Light"/>
        <family val="1"/>
        <scheme val="major"/>
      </rPr>
      <t>Proceedings of the National Academy of Sciences</t>
    </r>
    <r>
      <rPr>
        <sz val="11"/>
        <color rgb="FF222222"/>
        <rFont val="Calibri Light"/>
        <family val="1"/>
        <scheme val="major"/>
      </rPr>
      <t>, </t>
    </r>
    <r>
      <rPr>
        <i/>
        <sz val="11"/>
        <color rgb="FF222222"/>
        <rFont val="Calibri Light"/>
        <family val="1"/>
        <scheme val="major"/>
      </rPr>
      <t>114</t>
    </r>
    <r>
      <rPr>
        <sz val="11"/>
        <color rgb="FF222222"/>
        <rFont val="Calibri Light"/>
        <family val="1"/>
        <scheme val="major"/>
      </rPr>
      <t>(27), E5424-E5433.</t>
    </r>
  </si>
  <si>
    <t>NH4</t>
  </si>
  <si>
    <t>NO3</t>
  </si>
  <si>
    <t>NO2</t>
  </si>
  <si>
    <r>
      <t>Nitrate= 1.5 --&gt; 0 (mg-at N m</t>
    </r>
    <r>
      <rPr>
        <vertAlign val="superscript"/>
        <sz val="11"/>
        <color theme="1"/>
        <rFont val="Calibri Light"/>
        <family val="1"/>
        <scheme val="major"/>
      </rPr>
      <t>-3</t>
    </r>
    <r>
      <rPr>
        <sz val="11"/>
        <color theme="1"/>
        <rFont val="Calibri Light"/>
        <family val="1"/>
        <scheme val="major"/>
      </rPr>
      <t>)</t>
    </r>
  </si>
  <si>
    <t>0 or BLOD</t>
  </si>
  <si>
    <t>Nit (NO3+NO2)</t>
  </si>
  <si>
    <t>PO4</t>
  </si>
  <si>
    <t>llp</t>
  </si>
  <si>
    <t>pp</t>
  </si>
  <si>
    <t>&lt;0.01?</t>
  </si>
  <si>
    <t>dop</t>
  </si>
  <si>
    <t>tdp</t>
  </si>
  <si>
    <t>tdn</t>
  </si>
  <si>
    <t>don</t>
  </si>
  <si>
    <t>lln</t>
  </si>
  <si>
    <t>pn</t>
  </si>
  <si>
    <t>only one measurment</t>
  </si>
  <si>
    <t>Measurement</t>
  </si>
  <si>
    <t>Abbreviation</t>
  </si>
  <si>
    <t>CTD Temperature</t>
  </si>
  <si>
    <t>temp</t>
  </si>
  <si>
    <t>CTD Chloropigment</t>
  </si>
  <si>
    <t>cchl</t>
  </si>
  <si>
    <t>Phosphate</t>
  </si>
  <si>
    <t>phos</t>
  </si>
  <si>
    <t>Nitrate + Nitrite</t>
  </si>
  <si>
    <t>nit</t>
  </si>
  <si>
    <t>Dissolved Organic Phosphorus</t>
  </si>
  <si>
    <t>Dissolved Organic Nitrogen</t>
  </si>
  <si>
    <t>Total Dissolved Phosphorus</t>
  </si>
  <si>
    <t>Total Dissolved Nitrogen</t>
  </si>
  <si>
    <t>Low-Level Nitrogen</t>
  </si>
  <si>
    <t>Low-Level Phosphorus</t>
  </si>
  <si>
    <t>Particulate Nitrogen</t>
  </si>
  <si>
    <t>Particulate Phosphorus</t>
  </si>
  <si>
    <t>Prochlorococcus</t>
  </si>
  <si>
    <t>pbact</t>
  </si>
  <si>
    <t xml:space="preserve"> Nitrate data</t>
  </si>
  <si>
    <t xml:space="preserve"> Phospate data</t>
  </si>
  <si>
    <t>Monthly</t>
  </si>
  <si>
    <t>Seasonal</t>
  </si>
  <si>
    <t>Annual</t>
  </si>
  <si>
    <t>42.5 6.5</t>
  </si>
  <si>
    <t>-5.5 -109.5/-108.5</t>
  </si>
  <si>
    <t>Nan</t>
  </si>
  <si>
    <t>0.5/-0.5 -140.5</t>
  </si>
  <si>
    <t>22.5 -158.5</t>
  </si>
  <si>
    <t>34.5 -66.5</t>
  </si>
  <si>
    <t>-12.5 -145.5</t>
  </si>
  <si>
    <t>19.5 67.5</t>
  </si>
  <si>
    <t>33.5 138.5</t>
  </si>
  <si>
    <t>37.5 -40.5</t>
  </si>
  <si>
    <t>39.5 -48.50</t>
  </si>
  <si>
    <t>Data based on only one measurment (depth)</t>
  </si>
  <si>
    <t>Latitude</t>
  </si>
  <si>
    <t>Isolation location</t>
  </si>
  <si>
    <t>0.5/-0.5</t>
  </si>
  <si>
    <t>6.5</t>
  </si>
  <si>
    <t xml:space="preserve"> -110.5</t>
  </si>
  <si>
    <t xml:space="preserve"> -140.5</t>
  </si>
  <si>
    <t>-158.5</t>
  </si>
  <si>
    <t xml:space="preserve"> -145.5</t>
  </si>
  <si>
    <t>67.5</t>
  </si>
  <si>
    <t xml:space="preserve"> -158.5</t>
  </si>
  <si>
    <t>Longtitude</t>
  </si>
  <si>
    <t>37.5 -69.5/-68.5</t>
  </si>
  <si>
    <t>Temp. data location</t>
  </si>
  <si>
    <t xml:space="preserve"> isolation location and data (km)</t>
  </si>
  <si>
    <t>Temp. data- Distance between</t>
  </si>
  <si>
    <t>https://www.movable-type.co.uk/scripts/latlong.html</t>
  </si>
  <si>
    <t>Website from which we calculated distance</t>
  </si>
  <si>
    <t xml:space="preserve"> Temperature WOA</t>
  </si>
  <si>
    <t>Temp from isolation(C)</t>
  </si>
  <si>
    <t>Nitrate</t>
  </si>
  <si>
    <t>phosphate</t>
  </si>
  <si>
    <t>WOA</t>
  </si>
  <si>
    <t>Measurments</t>
  </si>
  <si>
    <t>GC %</t>
  </si>
  <si>
    <t>Temperature- C (WOA)</t>
  </si>
  <si>
    <t>Nitrate-  µmol/kg (WOA)</t>
  </si>
  <si>
    <t>Phosphate-  µmol/kg (WOA)</t>
  </si>
  <si>
    <t>Total number of P acquisition genes</t>
  </si>
  <si>
    <t>Pacific</t>
  </si>
  <si>
    <t>Atlantic</t>
  </si>
  <si>
    <t>WH8102</t>
  </si>
  <si>
    <t>genes</t>
  </si>
  <si>
    <t>p con</t>
  </si>
  <si>
    <t>nitrate</t>
  </si>
  <si>
    <t>this is monthly data</t>
  </si>
  <si>
    <t>when montly data was NA, I took data from seasonal</t>
  </si>
  <si>
    <t>measurments</t>
  </si>
  <si>
    <t>woa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</si>
</sst>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77"/>
      <scheme val="minor"/>
    </font>
    <font>
      <u/>
      <sz val="11"/>
      <color theme="10"/>
      <name val="Calibri"/>
      <family val="2"/>
      <charset val="177"/>
      <scheme val="minor"/>
    </font>
    <font>
      <sz val="11"/>
      <color theme="1"/>
      <name val="Calibri Light"/>
      <family val="1"/>
      <scheme val="major"/>
    </font>
    <font>
      <vertAlign val="superscript"/>
      <sz val="11"/>
      <color theme="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sz val="11"/>
      <color theme="1"/>
      <name val="Times New Roman"/>
      <family val="1"/>
    </font>
    <font>
      <sz val="11"/>
      <color rgb="FF222222"/>
      <name val="Calibri Light"/>
      <family val="1"/>
      <scheme val="major"/>
    </font>
    <font>
      <i/>
      <sz val="11"/>
      <color rgb="FF222222"/>
      <name val="Calibri Light"/>
      <family val="1"/>
      <scheme val="major"/>
    </font>
    <font>
      <u/>
      <sz val="11"/>
      <color theme="10"/>
      <name val="Calibri Light"/>
      <family val="1"/>
      <scheme val="major"/>
    </font>
    <font>
      <b/>
      <sz val="11"/>
      <color theme="1"/>
      <name val="Times New Roman"/>
      <family val="1"/>
    </font>
    <font>
      <sz val="11"/>
      <color rgb="FFFF0000"/>
      <name val="Calibri Light"/>
      <family val="1"/>
      <scheme val="major"/>
    </font>
    <font>
      <sz val="11"/>
      <color theme="5"/>
      <name val="Calibri Light"/>
      <family val="1"/>
      <scheme val="major"/>
    </font>
    <font>
      <sz val="11"/>
      <color theme="1"/>
      <name val="Calibri"/>
      <family val="2"/>
      <scheme val="minor"/>
    </font>
    <font>
      <b/>
      <sz val="12"/>
      <color theme="1"/>
      <name val="Calibri Light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2" fillId="0" borderId="0"/>
  </cellStyleXfs>
  <cellXfs count="52">
    <xf numFmtId="0" fontId="0" fillId="0" borderId="0" xfId="0"/>
    <xf numFmtId="2" fontId="2" fillId="0" borderId="1" xfId="0" applyNumberFormat="1" applyFont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4" fillId="0" borderId="9" xfId="0" applyNumberFormat="1" applyFont="1" applyBorder="1"/>
    <xf numFmtId="2" fontId="4" fillId="0" borderId="9" xfId="0" applyNumberFormat="1" applyFont="1" applyBorder="1" applyAlignment="1">
      <alignment horizontal="center"/>
    </xf>
    <xf numFmtId="2" fontId="2" fillId="0" borderId="13" xfId="0" applyNumberFormat="1" applyFont="1" applyBorder="1" applyAlignment="1">
      <alignment horizontal="center"/>
    </xf>
    <xf numFmtId="2" fontId="4" fillId="4" borderId="1" xfId="0" applyNumberFormat="1" applyFont="1" applyFill="1" applyBorder="1" applyAlignment="1">
      <alignment horizontal="center"/>
    </xf>
    <xf numFmtId="2" fontId="6" fillId="0" borderId="1" xfId="0" applyNumberFormat="1" applyFont="1" applyBorder="1" applyAlignment="1">
      <alignment vertical="center" readingOrder="1"/>
    </xf>
    <xf numFmtId="2" fontId="2" fillId="0" borderId="1" xfId="0" applyNumberFormat="1" applyFont="1" applyBorder="1" applyAlignment="1">
      <alignment vertical="center" readingOrder="1"/>
    </xf>
    <xf numFmtId="2" fontId="2" fillId="0" borderId="0" xfId="0" applyNumberFormat="1" applyFont="1"/>
    <xf numFmtId="2" fontId="2" fillId="0" borderId="1" xfId="0" applyNumberFormat="1" applyFont="1" applyBorder="1"/>
    <xf numFmtId="2" fontId="2" fillId="2" borderId="1" xfId="0" applyNumberFormat="1" applyFont="1" applyFill="1" applyBorder="1" applyAlignment="1">
      <alignment horizontal="center"/>
    </xf>
    <xf numFmtId="2" fontId="8" fillId="0" borderId="1" xfId="1" applyNumberFormat="1" applyFont="1" applyBorder="1" applyAlignment="1">
      <alignment vertical="center" readingOrder="1"/>
    </xf>
    <xf numFmtId="2" fontId="2" fillId="3" borderId="1" xfId="0" applyNumberFormat="1" applyFont="1" applyFill="1" applyBorder="1" applyAlignment="1">
      <alignment horizontal="center"/>
    </xf>
    <xf numFmtId="2" fontId="0" fillId="0" borderId="0" xfId="0" applyNumberFormat="1"/>
    <xf numFmtId="2" fontId="5" fillId="0" borderId="0" xfId="0" applyNumberFormat="1" applyFont="1" applyAlignment="1">
      <alignment vertical="center" readingOrder="1"/>
    </xf>
    <xf numFmtId="2" fontId="4" fillId="0" borderId="0" xfId="0" applyNumberFormat="1" applyFont="1" applyAlignment="1">
      <alignment horizontal="center"/>
    </xf>
    <xf numFmtId="2" fontId="9" fillId="0" borderId="5" xfId="0" applyNumberFormat="1" applyFont="1" applyBorder="1" applyAlignment="1">
      <alignment horizontal="center" vertical="center" readingOrder="1"/>
    </xf>
    <xf numFmtId="2" fontId="9" fillId="0" borderId="6" xfId="0" applyNumberFormat="1" applyFont="1" applyBorder="1" applyAlignment="1">
      <alignment horizontal="center" vertical="center" readingOrder="1"/>
    </xf>
    <xf numFmtId="2" fontId="5" fillId="0" borderId="7" xfId="0" applyNumberFormat="1" applyFont="1" applyBorder="1" applyAlignment="1">
      <alignment horizontal="center" vertical="center" readingOrder="1"/>
    </xf>
    <xf numFmtId="2" fontId="5" fillId="0" borderId="8" xfId="0" applyNumberFormat="1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1" fillId="0" borderId="0" xfId="1" applyNumberFormat="1" applyAlignment="1"/>
    <xf numFmtId="0" fontId="4" fillId="0" borderId="1" xfId="2" applyFont="1" applyBorder="1" applyAlignment="1">
      <alignment horizontal="center"/>
    </xf>
    <xf numFmtId="0" fontId="2" fillId="0" borderId="1" xfId="2" applyFont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0" fillId="3" borderId="0" xfId="0" applyFill="1"/>
    <xf numFmtId="0" fontId="13" fillId="0" borderId="1" xfId="0" applyFont="1" applyBorder="1" applyAlignment="1">
      <alignment horizontal="center"/>
    </xf>
    <xf numFmtId="2" fontId="4" fillId="6" borderId="1" xfId="0" applyNumberFormat="1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2" fillId="2" borderId="0" xfId="0" applyNumberFormat="1" applyFont="1" applyFill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3" xfId="0" applyNumberFormat="1" applyFont="1" applyBorder="1" applyAlignment="1">
      <alignment horizontal="center"/>
    </xf>
    <xf numFmtId="2" fontId="10" fillId="0" borderId="4" xfId="0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2" fontId="2" fillId="5" borderId="0" xfId="0" applyNumberFormat="1" applyFont="1" applyFill="1" applyAlignment="1">
      <alignment horizontal="center"/>
    </xf>
    <xf numFmtId="2" fontId="2" fillId="0" borderId="11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2" fontId="2" fillId="3" borderId="0" xfId="0" applyNumberFormat="1" applyFont="1" applyFill="1" applyAlignment="1">
      <alignment horizontal="center"/>
    </xf>
    <xf numFmtId="2" fontId="4" fillId="0" borderId="9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FC4490C1-5DA9-459F-90D4-21CE90632B67}"/>
  </cellStyles>
  <dxfs count="0"/>
  <tableStyles count="0" defaultTableStyle="TableStyleMedium2" defaultPivotStyle="PivotStyleLight16"/>
  <colors>
    <mruColors>
      <color rgb="FFA3C9AA"/>
      <color rgb="FFC68484"/>
      <color rgb="FF9B4444"/>
      <color rgb="FF7030A0"/>
      <color rgb="FFFFC000"/>
      <color rgb="FF70AD47"/>
      <color rgb="FF4472C4"/>
      <color rgb="FF009E73"/>
      <color rgb="FFE69F00"/>
      <color rgb="FF007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Sheet1!$AE$2</c:f>
              <c:strCache>
                <c:ptCount val="1"/>
                <c:pt idx="0">
                  <c:v>Monthly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Sheet1!$A$3:$A$17</c:f>
              <c:strCache>
                <c:ptCount val="15"/>
                <c:pt idx="0">
                  <c:v>MED4</c:v>
                </c:pt>
                <c:pt idx="1">
                  <c:v>MIT9515</c:v>
                </c:pt>
                <c:pt idx="2">
                  <c:v>MIT9312</c:v>
                </c:pt>
                <c:pt idx="3">
                  <c:v>MIT9215</c:v>
                </c:pt>
                <c:pt idx="4">
                  <c:v>MIT1314</c:v>
                </c:pt>
                <c:pt idx="5">
                  <c:v>MIT9301</c:v>
                </c:pt>
                <c:pt idx="6">
                  <c:v>MIT9202</c:v>
                </c:pt>
                <c:pt idx="7">
                  <c:v>AS9601</c:v>
                </c:pt>
                <c:pt idx="8">
                  <c:v>SB</c:v>
                </c:pt>
                <c:pt idx="9">
                  <c:v>MIT0604</c:v>
                </c:pt>
                <c:pt idx="10">
                  <c:v>NATL1A</c:v>
                </c:pt>
                <c:pt idx="11">
                  <c:v>NATL2A</c:v>
                </c:pt>
                <c:pt idx="12">
                  <c:v>PAC1</c:v>
                </c:pt>
                <c:pt idx="13">
                  <c:v>MIT1327</c:v>
                </c:pt>
                <c:pt idx="14">
                  <c:v>MIT9313</c:v>
                </c:pt>
              </c:strCache>
            </c:strRef>
          </c:cat>
          <c:val>
            <c:numRef>
              <c:f>Sheet1!$AE$3:$AE$17</c:f>
              <c:numCache>
                <c:formatCode>0.00</c:formatCode>
                <c:ptCount val="15"/>
                <c:pt idx="0" formatCode="General">
                  <c:v>13.34</c:v>
                </c:pt>
                <c:pt idx="1">
                  <c:v>26.81</c:v>
                </c:pt>
                <c:pt idx="2" formatCode="General">
                  <c:v>19.54</c:v>
                </c:pt>
                <c:pt idx="3" formatCode="General">
                  <c:v>25.61</c:v>
                </c:pt>
                <c:pt idx="4" formatCode="General">
                  <c:v>20.34</c:v>
                </c:pt>
                <c:pt idx="5">
                  <c:v>20.05</c:v>
                </c:pt>
                <c:pt idx="6">
                  <c:v>26.77</c:v>
                </c:pt>
                <c:pt idx="7">
                  <c:v>26.52</c:v>
                </c:pt>
                <c:pt idx="8">
                  <c:v>23.37</c:v>
                </c:pt>
                <c:pt idx="9" formatCode="General">
                  <c:v>20.04</c:v>
                </c:pt>
                <c:pt idx="10">
                  <c:v>16.89</c:v>
                </c:pt>
                <c:pt idx="11">
                  <c:v>17.34</c:v>
                </c:pt>
                <c:pt idx="12">
                  <c:v>21.85</c:v>
                </c:pt>
                <c:pt idx="13" formatCode="General">
                  <c:v>20.34</c:v>
                </c:pt>
                <c:pt idx="14">
                  <c:v>19.54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39-4E90-8A82-55DEB5BB020C}"/>
            </c:ext>
          </c:extLst>
        </c:ser>
        <c:ser>
          <c:idx val="1"/>
          <c:order val="1"/>
          <c:tx>
            <c:strRef>
              <c:f>Sheet1!$AF$2</c:f>
              <c:strCache>
                <c:ptCount val="1"/>
                <c:pt idx="0">
                  <c:v>Seasonal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Sheet1!$A$3:$A$17</c:f>
              <c:strCache>
                <c:ptCount val="15"/>
                <c:pt idx="0">
                  <c:v>MED4</c:v>
                </c:pt>
                <c:pt idx="1">
                  <c:v>MIT9515</c:v>
                </c:pt>
                <c:pt idx="2">
                  <c:v>MIT9312</c:v>
                </c:pt>
                <c:pt idx="3">
                  <c:v>MIT9215</c:v>
                </c:pt>
                <c:pt idx="4">
                  <c:v>MIT1314</c:v>
                </c:pt>
                <c:pt idx="5">
                  <c:v>MIT9301</c:v>
                </c:pt>
                <c:pt idx="6">
                  <c:v>MIT9202</c:v>
                </c:pt>
                <c:pt idx="7">
                  <c:v>AS9601</c:v>
                </c:pt>
                <c:pt idx="8">
                  <c:v>SB</c:v>
                </c:pt>
                <c:pt idx="9">
                  <c:v>MIT0604</c:v>
                </c:pt>
                <c:pt idx="10">
                  <c:v>NATL1A</c:v>
                </c:pt>
                <c:pt idx="11">
                  <c:v>NATL2A</c:v>
                </c:pt>
                <c:pt idx="12">
                  <c:v>PAC1</c:v>
                </c:pt>
                <c:pt idx="13">
                  <c:v>MIT1327</c:v>
                </c:pt>
                <c:pt idx="14">
                  <c:v>MIT9313</c:v>
                </c:pt>
              </c:strCache>
            </c:strRef>
          </c:cat>
          <c:val>
            <c:numRef>
              <c:f>Sheet1!$AF$3:$AF$17</c:f>
              <c:numCache>
                <c:formatCode>0.00</c:formatCode>
                <c:ptCount val="15"/>
                <c:pt idx="0" formatCode="General">
                  <c:v>13.25</c:v>
                </c:pt>
                <c:pt idx="1">
                  <c:v>26.93</c:v>
                </c:pt>
                <c:pt idx="2" formatCode="General">
                  <c:v>20.64</c:v>
                </c:pt>
                <c:pt idx="3" formatCode="General">
                  <c:v>25.98</c:v>
                </c:pt>
                <c:pt idx="4" formatCode="General">
                  <c:v>20.99</c:v>
                </c:pt>
                <c:pt idx="5">
                  <c:v>20.3</c:v>
                </c:pt>
                <c:pt idx="6">
                  <c:v>26.77</c:v>
                </c:pt>
                <c:pt idx="7">
                  <c:v>26.4</c:v>
                </c:pt>
                <c:pt idx="8">
                  <c:v>21.83</c:v>
                </c:pt>
                <c:pt idx="9" formatCode="General">
                  <c:v>20.93</c:v>
                </c:pt>
                <c:pt idx="10">
                  <c:v>18.04</c:v>
                </c:pt>
                <c:pt idx="11">
                  <c:v>19.440000000000001</c:v>
                </c:pt>
                <c:pt idx="12">
                  <c:v>21.92</c:v>
                </c:pt>
                <c:pt idx="13" formatCode="General">
                  <c:v>20.99</c:v>
                </c:pt>
                <c:pt idx="14">
                  <c:v>20.64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39-4E90-8A82-55DEB5BB020C}"/>
            </c:ext>
          </c:extLst>
        </c:ser>
        <c:ser>
          <c:idx val="2"/>
          <c:order val="2"/>
          <c:tx>
            <c:strRef>
              <c:f>Sheet1!$AG$2</c:f>
              <c:strCache>
                <c:ptCount val="1"/>
                <c:pt idx="0">
                  <c:v>Annual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Sheet1!$A$3:$A$17</c:f>
              <c:strCache>
                <c:ptCount val="15"/>
                <c:pt idx="0">
                  <c:v>MED4</c:v>
                </c:pt>
                <c:pt idx="1">
                  <c:v>MIT9515</c:v>
                </c:pt>
                <c:pt idx="2">
                  <c:v>MIT9312</c:v>
                </c:pt>
                <c:pt idx="3">
                  <c:v>MIT9215</c:v>
                </c:pt>
                <c:pt idx="4">
                  <c:v>MIT1314</c:v>
                </c:pt>
                <c:pt idx="5">
                  <c:v>MIT9301</c:v>
                </c:pt>
                <c:pt idx="6">
                  <c:v>MIT9202</c:v>
                </c:pt>
                <c:pt idx="7">
                  <c:v>AS9601</c:v>
                </c:pt>
                <c:pt idx="8">
                  <c:v>SB</c:v>
                </c:pt>
                <c:pt idx="9">
                  <c:v>MIT0604</c:v>
                </c:pt>
                <c:pt idx="10">
                  <c:v>NATL1A</c:v>
                </c:pt>
                <c:pt idx="11">
                  <c:v>NATL2A</c:v>
                </c:pt>
                <c:pt idx="12">
                  <c:v>PAC1</c:v>
                </c:pt>
                <c:pt idx="13">
                  <c:v>MIT1327</c:v>
                </c:pt>
                <c:pt idx="14">
                  <c:v>MIT9313</c:v>
                </c:pt>
              </c:strCache>
            </c:strRef>
          </c:cat>
          <c:val>
            <c:numRef>
              <c:f>Sheet1!$AG$3:$AG$17</c:f>
              <c:numCache>
                <c:formatCode>0.00</c:formatCode>
                <c:ptCount val="15"/>
                <c:pt idx="0" formatCode="General">
                  <c:v>16.91</c:v>
                </c:pt>
                <c:pt idx="1">
                  <c:v>24.89</c:v>
                </c:pt>
                <c:pt idx="2" formatCode="General">
                  <c:v>20.3</c:v>
                </c:pt>
                <c:pt idx="3" formatCode="General">
                  <c:v>26.59</c:v>
                </c:pt>
                <c:pt idx="4" formatCode="General">
                  <c:v>20.93</c:v>
                </c:pt>
                <c:pt idx="5">
                  <c:v>20.23</c:v>
                </c:pt>
                <c:pt idx="6">
                  <c:v>27.61</c:v>
                </c:pt>
                <c:pt idx="7">
                  <c:v>25.58</c:v>
                </c:pt>
                <c:pt idx="8">
                  <c:v>19.7</c:v>
                </c:pt>
                <c:pt idx="9" formatCode="General">
                  <c:v>20.93</c:v>
                </c:pt>
                <c:pt idx="10">
                  <c:v>19.93</c:v>
                </c:pt>
                <c:pt idx="11">
                  <c:v>20.56</c:v>
                </c:pt>
                <c:pt idx="12">
                  <c:v>22.61</c:v>
                </c:pt>
                <c:pt idx="13" formatCode="General">
                  <c:v>20.93</c:v>
                </c:pt>
                <c:pt idx="14">
                  <c:v>20.3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39-4E90-8A82-55DEB5BB0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516015"/>
        <c:axId val="200748591"/>
      </c:barChart>
      <c:catAx>
        <c:axId val="20851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he-IL"/>
          </a:p>
        </c:txPr>
        <c:crossAx val="200748591"/>
        <c:crosses val="autoZero"/>
        <c:auto val="1"/>
        <c:lblAlgn val="ctr"/>
        <c:lblOffset val="100"/>
        <c:noMultiLvlLbl val="0"/>
      </c:catAx>
      <c:valAx>
        <c:axId val="2007485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Temperature (C)</a:t>
                </a:r>
                <a:endParaRPr lang="en-I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I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he-IL"/>
          </a:p>
        </c:txPr>
        <c:crossAx val="208516015"/>
        <c:crosses val="autoZero"/>
        <c:crossBetween val="between"/>
        <c:maj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8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Real vs. estimated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he-I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Temp from isolation(C)</c:v>
                </c:pt>
              </c:strCache>
            </c:strRef>
          </c:tx>
          <c:spPr>
            <a:solidFill>
              <a:srgbClr val="C68484"/>
            </a:solidFill>
            <a:ln>
              <a:noFill/>
            </a:ln>
            <a:effectLst/>
          </c:spPr>
          <c:invertIfNegative val="0"/>
          <c:cat>
            <c:strRef>
              <c:f>(Sheet1!$A$3,Sheet1!$A$6:$A$7,Sheet1!$A$9:$A$10,Sheet1!$A$12,Sheet1!$A$15:$A$16)</c:f>
              <c:strCache>
                <c:ptCount val="8"/>
                <c:pt idx="0">
                  <c:v>MED4</c:v>
                </c:pt>
                <c:pt idx="1">
                  <c:v>MIT9215</c:v>
                </c:pt>
                <c:pt idx="2">
                  <c:v>MIT1314</c:v>
                </c:pt>
                <c:pt idx="3">
                  <c:v>MIT9202</c:v>
                </c:pt>
                <c:pt idx="4">
                  <c:v>AS9601</c:v>
                </c:pt>
                <c:pt idx="5">
                  <c:v>MIT0604</c:v>
                </c:pt>
                <c:pt idx="6">
                  <c:v>PAC1</c:v>
                </c:pt>
                <c:pt idx="7">
                  <c:v>MIT1327</c:v>
                </c:pt>
              </c:strCache>
            </c:strRef>
          </c:cat>
          <c:val>
            <c:numRef>
              <c:f>(Sheet1!$K$3,Sheet1!$K$6:$K$7,Sheet1!$K$9:$K$10,Sheet1!$K$12,Sheet1!$K$15:$K$16)</c:f>
              <c:numCache>
                <c:formatCode>0.00</c:formatCode>
                <c:ptCount val="8"/>
                <c:pt idx="0">
                  <c:v>13.5</c:v>
                </c:pt>
                <c:pt idx="1">
                  <c:v>25.05</c:v>
                </c:pt>
                <c:pt idx="2">
                  <c:v>21.23</c:v>
                </c:pt>
                <c:pt idx="3">
                  <c:v>27.07</c:v>
                </c:pt>
                <c:pt idx="4">
                  <c:v>26.32</c:v>
                </c:pt>
                <c:pt idx="5">
                  <c:v>17.43</c:v>
                </c:pt>
                <c:pt idx="6">
                  <c:v>21.4</c:v>
                </c:pt>
                <c:pt idx="7">
                  <c:v>21.23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3E-403E-AA12-35C32961C3AD}"/>
            </c:ext>
          </c:extLst>
        </c:ser>
        <c:ser>
          <c:idx val="1"/>
          <c:order val="1"/>
          <c:tx>
            <c:strRef>
              <c:f>Sheet1!$AE$1</c:f>
              <c:strCache>
                <c:ptCount val="1"/>
                <c:pt idx="0">
                  <c:v> Temperature WOA</c:v>
                </c:pt>
              </c:strCache>
            </c:strRef>
          </c:tx>
          <c:spPr>
            <a:solidFill>
              <a:srgbClr val="A3C9AA"/>
            </a:solidFill>
            <a:ln>
              <a:noFill/>
            </a:ln>
            <a:effectLst/>
          </c:spPr>
          <c:invertIfNegative val="0"/>
          <c:val>
            <c:numRef>
              <c:f>(Sheet1!$AE$3,Sheet1!$AE$6:$AE$7,Sheet1!$AE$9:$AE$10,Sheet1!$AE$12,Sheet1!$AE$15:$AE$16)</c:f>
              <c:numCache>
                <c:formatCode>General</c:formatCode>
                <c:ptCount val="8"/>
                <c:pt idx="0">
                  <c:v>13.34</c:v>
                </c:pt>
                <c:pt idx="1">
                  <c:v>25.61</c:v>
                </c:pt>
                <c:pt idx="2">
                  <c:v>20.34</c:v>
                </c:pt>
                <c:pt idx="3" formatCode="0.00">
                  <c:v>26.77</c:v>
                </c:pt>
                <c:pt idx="4" formatCode="0.00">
                  <c:v>26.52</c:v>
                </c:pt>
                <c:pt idx="5">
                  <c:v>20.04</c:v>
                </c:pt>
                <c:pt idx="6" formatCode="0.00">
                  <c:v>21.85</c:v>
                </c:pt>
                <c:pt idx="7">
                  <c:v>20.34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3E-403E-AA12-35C32961C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847663"/>
        <c:axId val="120577423"/>
      </c:barChart>
      <c:catAx>
        <c:axId val="12284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he-IL"/>
          </a:p>
        </c:txPr>
        <c:crossAx val="120577423"/>
        <c:crosses val="autoZero"/>
        <c:auto val="1"/>
        <c:lblAlgn val="ctr"/>
        <c:lblOffset val="100"/>
        <c:noMultiLvlLbl val="0"/>
      </c:catAx>
      <c:valAx>
        <c:axId val="120577423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he-IL"/>
          </a:p>
        </c:txPr>
        <c:crossAx val="122847663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Nitrate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Sheet1!$AN$19</c:f>
              <c:strCache>
                <c:ptCount val="1"/>
                <c:pt idx="0">
                  <c:v>Measurments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Sheet1!$AM$20:$AM$22</c:f>
              <c:strCache>
                <c:ptCount val="3"/>
                <c:pt idx="0">
                  <c:v>MED4</c:v>
                </c:pt>
                <c:pt idx="1">
                  <c:v>MIT9215</c:v>
                </c:pt>
                <c:pt idx="2">
                  <c:v>AS9601</c:v>
                </c:pt>
              </c:strCache>
            </c:strRef>
          </c:cat>
          <c:val>
            <c:numRef>
              <c:f>Sheet1!$AN$20:$AN$22</c:f>
              <c:numCache>
                <c:formatCode>0.00</c:formatCode>
                <c:ptCount val="3"/>
                <c:pt idx="0">
                  <c:v>1</c:v>
                </c:pt>
                <c:pt idx="1">
                  <c:v>6.28</c:v>
                </c:pt>
                <c:pt idx="2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77-461E-AD04-4422D8E4477A}"/>
            </c:ext>
          </c:extLst>
        </c:ser>
        <c:ser>
          <c:idx val="1"/>
          <c:order val="1"/>
          <c:tx>
            <c:strRef>
              <c:f>Sheet1!$AO$19</c:f>
              <c:strCache>
                <c:ptCount val="1"/>
                <c:pt idx="0">
                  <c:v>WOA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Sheet1!$AM$20:$AM$22</c:f>
              <c:strCache>
                <c:ptCount val="3"/>
                <c:pt idx="0">
                  <c:v>MED4</c:v>
                </c:pt>
                <c:pt idx="1">
                  <c:v>MIT9215</c:v>
                </c:pt>
                <c:pt idx="2">
                  <c:v>AS9601</c:v>
                </c:pt>
              </c:strCache>
            </c:strRef>
          </c:cat>
          <c:val>
            <c:numRef>
              <c:f>Sheet1!$AO$20:$AO$22</c:f>
              <c:numCache>
                <c:formatCode>General</c:formatCode>
                <c:ptCount val="3"/>
                <c:pt idx="0">
                  <c:v>2.36</c:v>
                </c:pt>
                <c:pt idx="1">
                  <c:v>5.73</c:v>
                </c:pt>
                <c:pt idx="2" formatCode="0.00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77-461E-AD04-4422D8E44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4028575"/>
        <c:axId val="438961423"/>
      </c:barChart>
      <c:catAx>
        <c:axId val="55402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438961423"/>
        <c:crosses val="autoZero"/>
        <c:auto val="1"/>
        <c:lblAlgn val="ctr"/>
        <c:lblOffset val="100"/>
        <c:noMultiLvlLbl val="0"/>
      </c:catAx>
      <c:valAx>
        <c:axId val="438961423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5402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Phosphate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Sheet1!$AN$28</c:f>
              <c:strCache>
                <c:ptCount val="1"/>
                <c:pt idx="0">
                  <c:v>Measurments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Sheet1!$AM$29:$AM$35</c:f>
              <c:strCache>
                <c:ptCount val="7"/>
                <c:pt idx="0">
                  <c:v>MED4</c:v>
                </c:pt>
                <c:pt idx="1">
                  <c:v>MIT9215</c:v>
                </c:pt>
                <c:pt idx="2">
                  <c:v>MIT1314</c:v>
                </c:pt>
                <c:pt idx="3">
                  <c:v>AS9601</c:v>
                </c:pt>
                <c:pt idx="4">
                  <c:v>MIT0604</c:v>
                </c:pt>
                <c:pt idx="5">
                  <c:v>PAC1</c:v>
                </c:pt>
                <c:pt idx="6">
                  <c:v>MIT1327</c:v>
                </c:pt>
              </c:strCache>
            </c:strRef>
          </c:cat>
          <c:val>
            <c:numRef>
              <c:f>Sheet1!$AN$29:$AN$35</c:f>
              <c:numCache>
                <c:formatCode>0.00</c:formatCode>
                <c:ptCount val="7"/>
                <c:pt idx="0">
                  <c:v>0.35</c:v>
                </c:pt>
                <c:pt idx="1">
                  <c:v>0.82</c:v>
                </c:pt>
                <c:pt idx="2">
                  <c:v>0.12</c:v>
                </c:pt>
                <c:pt idx="3">
                  <c:v>0.55000000000000004</c:v>
                </c:pt>
                <c:pt idx="4">
                  <c:v>0.4</c:v>
                </c:pt>
                <c:pt idx="5">
                  <c:v>0.08</c:v>
                </c:pt>
                <c:pt idx="6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E2-463B-8364-8D499BB5BD19}"/>
            </c:ext>
          </c:extLst>
        </c:ser>
        <c:ser>
          <c:idx val="1"/>
          <c:order val="1"/>
          <c:tx>
            <c:strRef>
              <c:f>Sheet1!$AO$28</c:f>
              <c:strCache>
                <c:ptCount val="1"/>
                <c:pt idx="0">
                  <c:v>WOA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Sheet1!$AM$29:$AM$35</c:f>
              <c:strCache>
                <c:ptCount val="7"/>
                <c:pt idx="0">
                  <c:v>MED4</c:v>
                </c:pt>
                <c:pt idx="1">
                  <c:v>MIT9215</c:v>
                </c:pt>
                <c:pt idx="2">
                  <c:v>MIT1314</c:v>
                </c:pt>
                <c:pt idx="3">
                  <c:v>AS9601</c:v>
                </c:pt>
                <c:pt idx="4">
                  <c:v>MIT0604</c:v>
                </c:pt>
                <c:pt idx="5">
                  <c:v>PAC1</c:v>
                </c:pt>
                <c:pt idx="6">
                  <c:v>MIT1327</c:v>
                </c:pt>
              </c:strCache>
            </c:strRef>
          </c:cat>
          <c:val>
            <c:numRef>
              <c:f>Sheet1!$AO$29:$AO$35</c:f>
              <c:numCache>
                <c:formatCode>General</c:formatCode>
                <c:ptCount val="7"/>
                <c:pt idx="0">
                  <c:v>0.11</c:v>
                </c:pt>
                <c:pt idx="1">
                  <c:v>0.76</c:v>
                </c:pt>
                <c:pt idx="2">
                  <c:v>0.13</c:v>
                </c:pt>
                <c:pt idx="3" formatCode="0.00">
                  <c:v>0.63</c:v>
                </c:pt>
                <c:pt idx="4">
                  <c:v>0.18</c:v>
                </c:pt>
                <c:pt idx="5" formatCode="0.00">
                  <c:v>0.08</c:v>
                </c:pt>
                <c:pt idx="6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E2-463B-8364-8D499BB5B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4028575"/>
        <c:axId val="438961423"/>
      </c:barChart>
      <c:catAx>
        <c:axId val="55402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438961423"/>
        <c:crosses val="autoZero"/>
        <c:auto val="1"/>
        <c:lblAlgn val="ctr"/>
        <c:lblOffset val="100"/>
        <c:noMultiLvlLbl val="0"/>
      </c:catAx>
      <c:valAx>
        <c:axId val="438961423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5402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Temperature data- WOA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he-I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Sheet1!$AE$2</c:f>
              <c:strCache>
                <c:ptCount val="1"/>
                <c:pt idx="0">
                  <c:v>Monthly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Sheet1!$A$3:$A$17</c:f>
              <c:strCache>
                <c:ptCount val="15"/>
                <c:pt idx="0">
                  <c:v>MED4</c:v>
                </c:pt>
                <c:pt idx="1">
                  <c:v>MIT9515</c:v>
                </c:pt>
                <c:pt idx="2">
                  <c:v>MIT9312</c:v>
                </c:pt>
                <c:pt idx="3">
                  <c:v>MIT9215</c:v>
                </c:pt>
                <c:pt idx="4">
                  <c:v>MIT1314</c:v>
                </c:pt>
                <c:pt idx="5">
                  <c:v>MIT9301</c:v>
                </c:pt>
                <c:pt idx="6">
                  <c:v>MIT9202</c:v>
                </c:pt>
                <c:pt idx="7">
                  <c:v>AS9601</c:v>
                </c:pt>
                <c:pt idx="8">
                  <c:v>SB</c:v>
                </c:pt>
                <c:pt idx="9">
                  <c:v>MIT0604</c:v>
                </c:pt>
                <c:pt idx="10">
                  <c:v>NATL1A</c:v>
                </c:pt>
                <c:pt idx="11">
                  <c:v>NATL2A</c:v>
                </c:pt>
                <c:pt idx="12">
                  <c:v>PAC1</c:v>
                </c:pt>
                <c:pt idx="13">
                  <c:v>MIT1327</c:v>
                </c:pt>
                <c:pt idx="14">
                  <c:v>MIT9313</c:v>
                </c:pt>
              </c:strCache>
            </c:strRef>
          </c:cat>
          <c:val>
            <c:numRef>
              <c:f>Sheet1!$AE$3:$AE$17</c:f>
              <c:numCache>
                <c:formatCode>0.00</c:formatCode>
                <c:ptCount val="15"/>
                <c:pt idx="0" formatCode="General">
                  <c:v>13.34</c:v>
                </c:pt>
                <c:pt idx="1">
                  <c:v>26.81</c:v>
                </c:pt>
                <c:pt idx="2" formatCode="General">
                  <c:v>19.54</c:v>
                </c:pt>
                <c:pt idx="3" formatCode="General">
                  <c:v>25.61</c:v>
                </c:pt>
                <c:pt idx="4" formatCode="General">
                  <c:v>20.34</c:v>
                </c:pt>
                <c:pt idx="5">
                  <c:v>20.05</c:v>
                </c:pt>
                <c:pt idx="6">
                  <c:v>26.77</c:v>
                </c:pt>
                <c:pt idx="7">
                  <c:v>26.52</c:v>
                </c:pt>
                <c:pt idx="8">
                  <c:v>23.37</c:v>
                </c:pt>
                <c:pt idx="9" formatCode="General">
                  <c:v>20.04</c:v>
                </c:pt>
                <c:pt idx="10">
                  <c:v>16.89</c:v>
                </c:pt>
                <c:pt idx="11">
                  <c:v>17.34</c:v>
                </c:pt>
                <c:pt idx="12">
                  <c:v>21.85</c:v>
                </c:pt>
                <c:pt idx="13" formatCode="General">
                  <c:v>20.34</c:v>
                </c:pt>
                <c:pt idx="14">
                  <c:v>19.54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D-413B-AC1F-2C368FDBFF2A}"/>
            </c:ext>
          </c:extLst>
        </c:ser>
        <c:ser>
          <c:idx val="1"/>
          <c:order val="1"/>
          <c:tx>
            <c:strRef>
              <c:f>Sheet1!$AF$2</c:f>
              <c:strCache>
                <c:ptCount val="1"/>
                <c:pt idx="0">
                  <c:v>Seasonal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Sheet1!$A$3:$A$17</c:f>
              <c:strCache>
                <c:ptCount val="15"/>
                <c:pt idx="0">
                  <c:v>MED4</c:v>
                </c:pt>
                <c:pt idx="1">
                  <c:v>MIT9515</c:v>
                </c:pt>
                <c:pt idx="2">
                  <c:v>MIT9312</c:v>
                </c:pt>
                <c:pt idx="3">
                  <c:v>MIT9215</c:v>
                </c:pt>
                <c:pt idx="4">
                  <c:v>MIT1314</c:v>
                </c:pt>
                <c:pt idx="5">
                  <c:v>MIT9301</c:v>
                </c:pt>
                <c:pt idx="6">
                  <c:v>MIT9202</c:v>
                </c:pt>
                <c:pt idx="7">
                  <c:v>AS9601</c:v>
                </c:pt>
                <c:pt idx="8">
                  <c:v>SB</c:v>
                </c:pt>
                <c:pt idx="9">
                  <c:v>MIT0604</c:v>
                </c:pt>
                <c:pt idx="10">
                  <c:v>NATL1A</c:v>
                </c:pt>
                <c:pt idx="11">
                  <c:v>NATL2A</c:v>
                </c:pt>
                <c:pt idx="12">
                  <c:v>PAC1</c:v>
                </c:pt>
                <c:pt idx="13">
                  <c:v>MIT1327</c:v>
                </c:pt>
                <c:pt idx="14">
                  <c:v>MIT9313</c:v>
                </c:pt>
              </c:strCache>
            </c:strRef>
          </c:cat>
          <c:val>
            <c:numRef>
              <c:f>Sheet1!$AF$3:$AF$17</c:f>
              <c:numCache>
                <c:formatCode>0.00</c:formatCode>
                <c:ptCount val="15"/>
                <c:pt idx="0" formatCode="General">
                  <c:v>13.25</c:v>
                </c:pt>
                <c:pt idx="1">
                  <c:v>26.93</c:v>
                </c:pt>
                <c:pt idx="2" formatCode="General">
                  <c:v>20.64</c:v>
                </c:pt>
                <c:pt idx="3" formatCode="General">
                  <c:v>25.98</c:v>
                </c:pt>
                <c:pt idx="4" formatCode="General">
                  <c:v>20.99</c:v>
                </c:pt>
                <c:pt idx="5">
                  <c:v>20.3</c:v>
                </c:pt>
                <c:pt idx="6">
                  <c:v>26.77</c:v>
                </c:pt>
                <c:pt idx="7">
                  <c:v>26.4</c:v>
                </c:pt>
                <c:pt idx="8">
                  <c:v>21.83</c:v>
                </c:pt>
                <c:pt idx="9" formatCode="General">
                  <c:v>20.93</c:v>
                </c:pt>
                <c:pt idx="10">
                  <c:v>18.04</c:v>
                </c:pt>
                <c:pt idx="11">
                  <c:v>19.440000000000001</c:v>
                </c:pt>
                <c:pt idx="12">
                  <c:v>21.92</c:v>
                </c:pt>
                <c:pt idx="13" formatCode="General">
                  <c:v>20.99</c:v>
                </c:pt>
                <c:pt idx="14">
                  <c:v>20.64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6D-413B-AC1F-2C368FDBFF2A}"/>
            </c:ext>
          </c:extLst>
        </c:ser>
        <c:ser>
          <c:idx val="2"/>
          <c:order val="2"/>
          <c:tx>
            <c:strRef>
              <c:f>Sheet1!$AG$2</c:f>
              <c:strCache>
                <c:ptCount val="1"/>
                <c:pt idx="0">
                  <c:v>Annual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Sheet1!$A$3:$A$17</c:f>
              <c:strCache>
                <c:ptCount val="15"/>
                <c:pt idx="0">
                  <c:v>MED4</c:v>
                </c:pt>
                <c:pt idx="1">
                  <c:v>MIT9515</c:v>
                </c:pt>
                <c:pt idx="2">
                  <c:v>MIT9312</c:v>
                </c:pt>
                <c:pt idx="3">
                  <c:v>MIT9215</c:v>
                </c:pt>
                <c:pt idx="4">
                  <c:v>MIT1314</c:v>
                </c:pt>
                <c:pt idx="5">
                  <c:v>MIT9301</c:v>
                </c:pt>
                <c:pt idx="6">
                  <c:v>MIT9202</c:v>
                </c:pt>
                <c:pt idx="7">
                  <c:v>AS9601</c:v>
                </c:pt>
                <c:pt idx="8">
                  <c:v>SB</c:v>
                </c:pt>
                <c:pt idx="9">
                  <c:v>MIT0604</c:v>
                </c:pt>
                <c:pt idx="10">
                  <c:v>NATL1A</c:v>
                </c:pt>
                <c:pt idx="11">
                  <c:v>NATL2A</c:v>
                </c:pt>
                <c:pt idx="12">
                  <c:v>PAC1</c:v>
                </c:pt>
                <c:pt idx="13">
                  <c:v>MIT1327</c:v>
                </c:pt>
                <c:pt idx="14">
                  <c:v>MIT9313</c:v>
                </c:pt>
              </c:strCache>
            </c:strRef>
          </c:cat>
          <c:val>
            <c:numRef>
              <c:f>Sheet1!$AG$3:$AG$17</c:f>
              <c:numCache>
                <c:formatCode>0.00</c:formatCode>
                <c:ptCount val="15"/>
                <c:pt idx="0" formatCode="General">
                  <c:v>16.91</c:v>
                </c:pt>
                <c:pt idx="1">
                  <c:v>24.89</c:v>
                </c:pt>
                <c:pt idx="2" formatCode="General">
                  <c:v>20.3</c:v>
                </c:pt>
                <c:pt idx="3" formatCode="General">
                  <c:v>26.59</c:v>
                </c:pt>
                <c:pt idx="4" formatCode="General">
                  <c:v>20.93</c:v>
                </c:pt>
                <c:pt idx="5">
                  <c:v>20.23</c:v>
                </c:pt>
                <c:pt idx="6">
                  <c:v>27.61</c:v>
                </c:pt>
                <c:pt idx="7">
                  <c:v>25.58</c:v>
                </c:pt>
                <c:pt idx="8">
                  <c:v>19.7</c:v>
                </c:pt>
                <c:pt idx="9" formatCode="General">
                  <c:v>20.93</c:v>
                </c:pt>
                <c:pt idx="10">
                  <c:v>19.93</c:v>
                </c:pt>
                <c:pt idx="11">
                  <c:v>20.56</c:v>
                </c:pt>
                <c:pt idx="12">
                  <c:v>22.61</c:v>
                </c:pt>
                <c:pt idx="13" formatCode="General">
                  <c:v>20.93</c:v>
                </c:pt>
                <c:pt idx="14">
                  <c:v>20.3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6D-413B-AC1F-2C368FDBF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516015"/>
        <c:axId val="200748591"/>
      </c:barChart>
      <c:catAx>
        <c:axId val="20851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he-IL"/>
          </a:p>
        </c:txPr>
        <c:crossAx val="200748591"/>
        <c:crosses val="autoZero"/>
        <c:auto val="1"/>
        <c:lblAlgn val="ctr"/>
        <c:lblOffset val="100"/>
        <c:noMultiLvlLbl val="0"/>
      </c:catAx>
      <c:valAx>
        <c:axId val="200748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he-IL"/>
          </a:p>
        </c:txPr>
        <c:crossAx val="208516015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 b="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Sheet1!$AI$2</c:f>
              <c:strCache>
                <c:ptCount val="1"/>
                <c:pt idx="0">
                  <c:v>Monthly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Sheet1!$A$3:$A$17</c:f>
              <c:strCache>
                <c:ptCount val="15"/>
                <c:pt idx="0">
                  <c:v>MED4</c:v>
                </c:pt>
                <c:pt idx="1">
                  <c:v>MIT9515</c:v>
                </c:pt>
                <c:pt idx="2">
                  <c:v>MIT9312</c:v>
                </c:pt>
                <c:pt idx="3">
                  <c:v>MIT9215</c:v>
                </c:pt>
                <c:pt idx="4">
                  <c:v>MIT1314</c:v>
                </c:pt>
                <c:pt idx="5">
                  <c:v>MIT9301</c:v>
                </c:pt>
                <c:pt idx="6">
                  <c:v>MIT9202</c:v>
                </c:pt>
                <c:pt idx="7">
                  <c:v>AS9601</c:v>
                </c:pt>
                <c:pt idx="8">
                  <c:v>SB</c:v>
                </c:pt>
                <c:pt idx="9">
                  <c:v>MIT0604</c:v>
                </c:pt>
                <c:pt idx="10">
                  <c:v>NATL1A</c:v>
                </c:pt>
                <c:pt idx="11">
                  <c:v>NATL2A</c:v>
                </c:pt>
                <c:pt idx="12">
                  <c:v>PAC1</c:v>
                </c:pt>
                <c:pt idx="13">
                  <c:v>MIT1327</c:v>
                </c:pt>
                <c:pt idx="14">
                  <c:v>MIT9313</c:v>
                </c:pt>
              </c:strCache>
            </c:strRef>
          </c:cat>
          <c:val>
            <c:numRef>
              <c:f>Sheet1!$AI$3:$AI$17</c:f>
              <c:numCache>
                <c:formatCode>0.00</c:formatCode>
                <c:ptCount val="15"/>
                <c:pt idx="0" formatCode="General">
                  <c:v>2.36</c:v>
                </c:pt>
                <c:pt idx="1">
                  <c:v>0</c:v>
                </c:pt>
                <c:pt idx="2">
                  <c:v>1.47</c:v>
                </c:pt>
                <c:pt idx="3" formatCode="General">
                  <c:v>5.73</c:v>
                </c:pt>
                <c:pt idx="4" formatCode="General">
                  <c:v>0.93</c:v>
                </c:pt>
                <c:pt idx="5">
                  <c:v>0</c:v>
                </c:pt>
                <c:pt idx="6">
                  <c:v>0.78</c:v>
                </c:pt>
                <c:pt idx="7">
                  <c:v>2.9</c:v>
                </c:pt>
                <c:pt idx="8">
                  <c:v>2.15</c:v>
                </c:pt>
                <c:pt idx="9" formatCode="General">
                  <c:v>2.85</c:v>
                </c:pt>
                <c:pt idx="10">
                  <c:v>0.87</c:v>
                </c:pt>
                <c:pt idx="11">
                  <c:v>3.17</c:v>
                </c:pt>
                <c:pt idx="12">
                  <c:v>0.08</c:v>
                </c:pt>
                <c:pt idx="13" formatCode="General">
                  <c:v>0.93</c:v>
                </c:pt>
                <c:pt idx="14">
                  <c:v>1.47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C0-4B06-8EB8-B5D7E301DB94}"/>
            </c:ext>
          </c:extLst>
        </c:ser>
        <c:ser>
          <c:idx val="1"/>
          <c:order val="1"/>
          <c:tx>
            <c:strRef>
              <c:f>Sheet1!$AJ$2</c:f>
              <c:strCache>
                <c:ptCount val="1"/>
                <c:pt idx="0">
                  <c:v>Seasonal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Sheet1!$A$3:$A$17</c:f>
              <c:strCache>
                <c:ptCount val="15"/>
                <c:pt idx="0">
                  <c:v>MED4</c:v>
                </c:pt>
                <c:pt idx="1">
                  <c:v>MIT9515</c:v>
                </c:pt>
                <c:pt idx="2">
                  <c:v>MIT9312</c:v>
                </c:pt>
                <c:pt idx="3">
                  <c:v>MIT9215</c:v>
                </c:pt>
                <c:pt idx="4">
                  <c:v>MIT1314</c:v>
                </c:pt>
                <c:pt idx="5">
                  <c:v>MIT9301</c:v>
                </c:pt>
                <c:pt idx="6">
                  <c:v>MIT9202</c:v>
                </c:pt>
                <c:pt idx="7">
                  <c:v>AS9601</c:v>
                </c:pt>
                <c:pt idx="8">
                  <c:v>SB</c:v>
                </c:pt>
                <c:pt idx="9">
                  <c:v>MIT0604</c:v>
                </c:pt>
                <c:pt idx="10">
                  <c:v>NATL1A</c:v>
                </c:pt>
                <c:pt idx="11">
                  <c:v>NATL2A</c:v>
                </c:pt>
                <c:pt idx="12">
                  <c:v>PAC1</c:v>
                </c:pt>
                <c:pt idx="13">
                  <c:v>MIT1327</c:v>
                </c:pt>
                <c:pt idx="14">
                  <c:v>MIT9313</c:v>
                </c:pt>
              </c:strCache>
            </c:strRef>
          </c:cat>
          <c:val>
            <c:numRef>
              <c:f>Sheet1!$AJ$3:$AJ$17</c:f>
              <c:numCache>
                <c:formatCode>General</c:formatCode>
                <c:ptCount val="15"/>
                <c:pt idx="0">
                  <c:v>2.4</c:v>
                </c:pt>
                <c:pt idx="1">
                  <c:v>2.84</c:v>
                </c:pt>
                <c:pt idx="2" formatCode="0.00">
                  <c:v>0</c:v>
                </c:pt>
                <c:pt idx="3">
                  <c:v>5.73</c:v>
                </c:pt>
                <c:pt idx="4">
                  <c:v>0.81</c:v>
                </c:pt>
                <c:pt idx="5" formatCode="0.00">
                  <c:v>0.36</c:v>
                </c:pt>
                <c:pt idx="6" formatCode="0.00">
                  <c:v>0.78</c:v>
                </c:pt>
                <c:pt idx="7" formatCode="0.00">
                  <c:v>3.62</c:v>
                </c:pt>
                <c:pt idx="8" formatCode="0.00">
                  <c:v>1.44</c:v>
                </c:pt>
                <c:pt idx="9">
                  <c:v>0.81</c:v>
                </c:pt>
                <c:pt idx="10" formatCode="0.00">
                  <c:v>0.87</c:v>
                </c:pt>
                <c:pt idx="11" formatCode="0.00">
                  <c:v>3.17</c:v>
                </c:pt>
                <c:pt idx="12" formatCode="0.00">
                  <c:v>0.09</c:v>
                </c:pt>
                <c:pt idx="13">
                  <c:v>0.81</c:v>
                </c:pt>
                <c:pt idx="14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C0-4B06-8EB8-B5D7E301DB94}"/>
            </c:ext>
          </c:extLst>
        </c:ser>
        <c:ser>
          <c:idx val="2"/>
          <c:order val="2"/>
          <c:tx>
            <c:strRef>
              <c:f>Sheet1!$AK$2</c:f>
              <c:strCache>
                <c:ptCount val="1"/>
                <c:pt idx="0">
                  <c:v>Annual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Sheet1!$A$3:$A$17</c:f>
              <c:strCache>
                <c:ptCount val="15"/>
                <c:pt idx="0">
                  <c:v>MED4</c:v>
                </c:pt>
                <c:pt idx="1">
                  <c:v>MIT9515</c:v>
                </c:pt>
                <c:pt idx="2">
                  <c:v>MIT9312</c:v>
                </c:pt>
                <c:pt idx="3">
                  <c:v>MIT9215</c:v>
                </c:pt>
                <c:pt idx="4">
                  <c:v>MIT1314</c:v>
                </c:pt>
                <c:pt idx="5">
                  <c:v>MIT9301</c:v>
                </c:pt>
                <c:pt idx="6">
                  <c:v>MIT9202</c:v>
                </c:pt>
                <c:pt idx="7">
                  <c:v>AS9601</c:v>
                </c:pt>
                <c:pt idx="8">
                  <c:v>SB</c:v>
                </c:pt>
                <c:pt idx="9">
                  <c:v>MIT0604</c:v>
                </c:pt>
                <c:pt idx="10">
                  <c:v>NATL1A</c:v>
                </c:pt>
                <c:pt idx="11">
                  <c:v>NATL2A</c:v>
                </c:pt>
                <c:pt idx="12">
                  <c:v>PAC1</c:v>
                </c:pt>
                <c:pt idx="13">
                  <c:v>MIT1327</c:v>
                </c:pt>
                <c:pt idx="14">
                  <c:v>MIT9313</c:v>
                </c:pt>
              </c:strCache>
            </c:strRef>
          </c:cat>
          <c:val>
            <c:numRef>
              <c:f>Sheet1!$AK$3:$AK$17</c:f>
              <c:numCache>
                <c:formatCode>0.00</c:formatCode>
                <c:ptCount val="15"/>
                <c:pt idx="0" formatCode="General">
                  <c:v>1.85</c:v>
                </c:pt>
                <c:pt idx="1">
                  <c:v>9.16</c:v>
                </c:pt>
                <c:pt idx="2" formatCode="General">
                  <c:v>0.97</c:v>
                </c:pt>
                <c:pt idx="3" formatCode="General">
                  <c:v>3.98</c:v>
                </c:pt>
                <c:pt idx="4" formatCode="General">
                  <c:v>1.04</c:v>
                </c:pt>
                <c:pt idx="5">
                  <c:v>0.28999999999999998</c:v>
                </c:pt>
                <c:pt idx="6">
                  <c:v>0.78</c:v>
                </c:pt>
                <c:pt idx="7">
                  <c:v>3.39</c:v>
                </c:pt>
                <c:pt idx="8">
                  <c:v>1.44</c:v>
                </c:pt>
                <c:pt idx="9" formatCode="General">
                  <c:v>1.04</c:v>
                </c:pt>
                <c:pt idx="10">
                  <c:v>0.87</c:v>
                </c:pt>
                <c:pt idx="11">
                  <c:v>1.59</c:v>
                </c:pt>
                <c:pt idx="12">
                  <c:v>0.08</c:v>
                </c:pt>
                <c:pt idx="13" formatCode="General">
                  <c:v>1.04</c:v>
                </c:pt>
                <c:pt idx="14">
                  <c:v>0.97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C0-4B06-8EB8-B5D7E301D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516015"/>
        <c:axId val="200748591"/>
      </c:barChart>
      <c:catAx>
        <c:axId val="20851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he-IL"/>
          </a:p>
        </c:txPr>
        <c:crossAx val="200748591"/>
        <c:crosses val="autoZero"/>
        <c:auto val="1"/>
        <c:lblAlgn val="ctr"/>
        <c:lblOffset val="100"/>
        <c:noMultiLvlLbl val="0"/>
      </c:catAx>
      <c:valAx>
        <c:axId val="2007485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Nitrate (µmol/kg)</a:t>
                </a:r>
                <a:endParaRPr lang="en-I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I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he-IL"/>
          </a:p>
        </c:txPr>
        <c:crossAx val="208516015"/>
        <c:crosses val="autoZero"/>
        <c:crossBetween val="between"/>
        <c:majorUnit val="5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Sheet1!$AM$2</c:f>
              <c:strCache>
                <c:ptCount val="1"/>
                <c:pt idx="0">
                  <c:v>Monthly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Sheet1!$A$3:$A$17</c:f>
              <c:strCache>
                <c:ptCount val="15"/>
                <c:pt idx="0">
                  <c:v>MED4</c:v>
                </c:pt>
                <c:pt idx="1">
                  <c:v>MIT9515</c:v>
                </c:pt>
                <c:pt idx="2">
                  <c:v>MIT9312</c:v>
                </c:pt>
                <c:pt idx="3">
                  <c:v>MIT9215</c:v>
                </c:pt>
                <c:pt idx="4">
                  <c:v>MIT1314</c:v>
                </c:pt>
                <c:pt idx="5">
                  <c:v>MIT9301</c:v>
                </c:pt>
                <c:pt idx="6">
                  <c:v>MIT9202</c:v>
                </c:pt>
                <c:pt idx="7">
                  <c:v>AS9601</c:v>
                </c:pt>
                <c:pt idx="8">
                  <c:v>SB</c:v>
                </c:pt>
                <c:pt idx="9">
                  <c:v>MIT0604</c:v>
                </c:pt>
                <c:pt idx="10">
                  <c:v>NATL1A</c:v>
                </c:pt>
                <c:pt idx="11">
                  <c:v>NATL2A</c:v>
                </c:pt>
                <c:pt idx="12">
                  <c:v>PAC1</c:v>
                </c:pt>
                <c:pt idx="13">
                  <c:v>MIT1327</c:v>
                </c:pt>
                <c:pt idx="14">
                  <c:v>MIT9313</c:v>
                </c:pt>
              </c:strCache>
            </c:strRef>
          </c:cat>
          <c:val>
            <c:numRef>
              <c:f>Sheet1!$AM$3:$AM$17</c:f>
              <c:numCache>
                <c:formatCode>0.00</c:formatCode>
                <c:ptCount val="15"/>
                <c:pt idx="0" formatCode="General">
                  <c:v>0.11</c:v>
                </c:pt>
                <c:pt idx="1">
                  <c:v>0</c:v>
                </c:pt>
                <c:pt idx="2" formatCode="General">
                  <c:v>0.36</c:v>
                </c:pt>
                <c:pt idx="3" formatCode="General">
                  <c:v>0.76</c:v>
                </c:pt>
                <c:pt idx="4" formatCode="General">
                  <c:v>0.13</c:v>
                </c:pt>
                <c:pt idx="5">
                  <c:v>0</c:v>
                </c:pt>
                <c:pt idx="6">
                  <c:v>0.05</c:v>
                </c:pt>
                <c:pt idx="7">
                  <c:v>0.63</c:v>
                </c:pt>
                <c:pt idx="8">
                  <c:v>0.17</c:v>
                </c:pt>
                <c:pt idx="9" formatCode="General">
                  <c:v>0.18</c:v>
                </c:pt>
                <c:pt idx="10">
                  <c:v>0.13</c:v>
                </c:pt>
                <c:pt idx="11">
                  <c:v>0</c:v>
                </c:pt>
                <c:pt idx="12">
                  <c:v>0.08</c:v>
                </c:pt>
                <c:pt idx="13" formatCode="General">
                  <c:v>0.18</c:v>
                </c:pt>
                <c:pt idx="14">
                  <c:v>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F5-4C53-BB8D-381524C069D8}"/>
            </c:ext>
          </c:extLst>
        </c:ser>
        <c:ser>
          <c:idx val="1"/>
          <c:order val="1"/>
          <c:tx>
            <c:strRef>
              <c:f>Sheet1!$AN$2</c:f>
              <c:strCache>
                <c:ptCount val="1"/>
                <c:pt idx="0">
                  <c:v>Seasonal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Sheet1!$A$3:$A$17</c:f>
              <c:strCache>
                <c:ptCount val="15"/>
                <c:pt idx="0">
                  <c:v>MED4</c:v>
                </c:pt>
                <c:pt idx="1">
                  <c:v>MIT9515</c:v>
                </c:pt>
                <c:pt idx="2">
                  <c:v>MIT9312</c:v>
                </c:pt>
                <c:pt idx="3">
                  <c:v>MIT9215</c:v>
                </c:pt>
                <c:pt idx="4">
                  <c:v>MIT1314</c:v>
                </c:pt>
                <c:pt idx="5">
                  <c:v>MIT9301</c:v>
                </c:pt>
                <c:pt idx="6">
                  <c:v>MIT9202</c:v>
                </c:pt>
                <c:pt idx="7">
                  <c:v>AS9601</c:v>
                </c:pt>
                <c:pt idx="8">
                  <c:v>SB</c:v>
                </c:pt>
                <c:pt idx="9">
                  <c:v>MIT0604</c:v>
                </c:pt>
                <c:pt idx="10">
                  <c:v>NATL1A</c:v>
                </c:pt>
                <c:pt idx="11">
                  <c:v>NATL2A</c:v>
                </c:pt>
                <c:pt idx="12">
                  <c:v>PAC1</c:v>
                </c:pt>
                <c:pt idx="13">
                  <c:v>MIT1327</c:v>
                </c:pt>
                <c:pt idx="14">
                  <c:v>MIT9313</c:v>
                </c:pt>
              </c:strCache>
            </c:strRef>
          </c:cat>
          <c:val>
            <c:numRef>
              <c:f>Sheet1!$AN$3:$AN$17</c:f>
              <c:numCache>
                <c:formatCode>General</c:formatCode>
                <c:ptCount val="15"/>
                <c:pt idx="0">
                  <c:v>0.1</c:v>
                </c:pt>
                <c:pt idx="1">
                  <c:v>0.4</c:v>
                </c:pt>
                <c:pt idx="2">
                  <c:v>0.02</c:v>
                </c:pt>
                <c:pt idx="3">
                  <c:v>0.76</c:v>
                </c:pt>
                <c:pt idx="4">
                  <c:v>0.13</c:v>
                </c:pt>
                <c:pt idx="5" formatCode="0.00">
                  <c:v>0.03</c:v>
                </c:pt>
                <c:pt idx="6" formatCode="0.00">
                  <c:v>0.05</c:v>
                </c:pt>
                <c:pt idx="7" formatCode="0.00">
                  <c:v>0.63</c:v>
                </c:pt>
                <c:pt idx="8" formatCode="0.00">
                  <c:v>0.17</c:v>
                </c:pt>
                <c:pt idx="9">
                  <c:v>0.13</c:v>
                </c:pt>
                <c:pt idx="10" formatCode="0.00">
                  <c:v>0.13</c:v>
                </c:pt>
                <c:pt idx="11" formatCode="0.00">
                  <c:v>0.11</c:v>
                </c:pt>
                <c:pt idx="12" formatCode="0.00">
                  <c:v>0.06</c:v>
                </c:pt>
                <c:pt idx="13">
                  <c:v>0.13</c:v>
                </c:pt>
                <c:pt idx="14" formatCode="0.00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F5-4C53-BB8D-381524C069D8}"/>
            </c:ext>
          </c:extLst>
        </c:ser>
        <c:ser>
          <c:idx val="2"/>
          <c:order val="2"/>
          <c:tx>
            <c:strRef>
              <c:f>Sheet1!$AO$2</c:f>
              <c:strCache>
                <c:ptCount val="1"/>
                <c:pt idx="0">
                  <c:v>Annual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Sheet1!$A$3:$A$17</c:f>
              <c:strCache>
                <c:ptCount val="15"/>
                <c:pt idx="0">
                  <c:v>MED4</c:v>
                </c:pt>
                <c:pt idx="1">
                  <c:v>MIT9515</c:v>
                </c:pt>
                <c:pt idx="2">
                  <c:v>MIT9312</c:v>
                </c:pt>
                <c:pt idx="3">
                  <c:v>MIT9215</c:v>
                </c:pt>
                <c:pt idx="4">
                  <c:v>MIT1314</c:v>
                </c:pt>
                <c:pt idx="5">
                  <c:v>MIT9301</c:v>
                </c:pt>
                <c:pt idx="6">
                  <c:v>MIT9202</c:v>
                </c:pt>
                <c:pt idx="7">
                  <c:v>AS9601</c:v>
                </c:pt>
                <c:pt idx="8">
                  <c:v>SB</c:v>
                </c:pt>
                <c:pt idx="9">
                  <c:v>MIT0604</c:v>
                </c:pt>
                <c:pt idx="10">
                  <c:v>NATL1A</c:v>
                </c:pt>
                <c:pt idx="11">
                  <c:v>NATL2A</c:v>
                </c:pt>
                <c:pt idx="12">
                  <c:v>PAC1</c:v>
                </c:pt>
                <c:pt idx="13">
                  <c:v>MIT1327</c:v>
                </c:pt>
                <c:pt idx="14">
                  <c:v>MIT9313</c:v>
                </c:pt>
              </c:strCache>
            </c:strRef>
          </c:cat>
          <c:val>
            <c:numRef>
              <c:f>Sheet1!$AO$3:$AO$17</c:f>
              <c:numCache>
                <c:formatCode>General</c:formatCode>
                <c:ptCount val="15"/>
                <c:pt idx="0">
                  <c:v>0.13</c:v>
                </c:pt>
                <c:pt idx="1">
                  <c:v>0.8</c:v>
                </c:pt>
                <c:pt idx="2">
                  <c:v>0.04</c:v>
                </c:pt>
                <c:pt idx="3">
                  <c:v>0.56000000000000005</c:v>
                </c:pt>
                <c:pt idx="4">
                  <c:v>0.15</c:v>
                </c:pt>
                <c:pt idx="5" formatCode="0.00">
                  <c:v>0.02</c:v>
                </c:pt>
                <c:pt idx="6" formatCode="0.00">
                  <c:v>0.05</c:v>
                </c:pt>
                <c:pt idx="7" formatCode="0.00">
                  <c:v>0.61</c:v>
                </c:pt>
                <c:pt idx="8" formatCode="0.00">
                  <c:v>0.21</c:v>
                </c:pt>
                <c:pt idx="9">
                  <c:v>0.15</c:v>
                </c:pt>
                <c:pt idx="10" formatCode="0.00">
                  <c:v>0.13</c:v>
                </c:pt>
                <c:pt idx="11" formatCode="0.00">
                  <c:v>0.11</c:v>
                </c:pt>
                <c:pt idx="12" formatCode="0.00">
                  <c:v>7.0000000000000007E-2</c:v>
                </c:pt>
                <c:pt idx="13">
                  <c:v>0.15</c:v>
                </c:pt>
                <c:pt idx="14" formatCode="0.00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F5-4C53-BB8D-381524C06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516015"/>
        <c:axId val="200748591"/>
      </c:barChart>
      <c:catAx>
        <c:axId val="20851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he-IL"/>
          </a:p>
        </c:txPr>
        <c:crossAx val="200748591"/>
        <c:crosses val="autoZero"/>
        <c:auto val="1"/>
        <c:lblAlgn val="ctr"/>
        <c:lblOffset val="100"/>
        <c:noMultiLvlLbl val="0"/>
      </c:catAx>
      <c:valAx>
        <c:axId val="2007485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Phosphate (µmol/kg)</a:t>
                </a:r>
                <a:endParaRPr lang="en-I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I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he-IL"/>
          </a:p>
        </c:txPr>
        <c:crossAx val="208516015"/>
        <c:crosses val="autoZero"/>
        <c:crossBetween val="between"/>
        <c:majorUnit val="0.5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09468354439499"/>
          <c:y val="6.3813655851745796E-2"/>
          <c:w val="0.81905316455605015"/>
          <c:h val="0.65482832880236375"/>
        </c:manualLayout>
      </c:layout>
      <c:barChart>
        <c:barDir val="col"/>
        <c:grouping val="clustered"/>
        <c:varyColors val="0"/>
        <c:ser>
          <c:idx val="0"/>
          <c:order val="0"/>
          <c:tx>
            <c:v>Cruise measurments </c:v>
          </c:tx>
          <c:spPr>
            <a:solidFill>
              <a:srgbClr val="C68484"/>
            </a:solidFill>
            <a:ln>
              <a:noFill/>
            </a:ln>
            <a:effectLst/>
          </c:spPr>
          <c:invertIfNegative val="0"/>
          <c:cat>
            <c:strRef>
              <c:f>Sheet1!$AR$21:$AR$31</c:f>
              <c:strCache>
                <c:ptCount val="11"/>
                <c:pt idx="0">
                  <c:v>MED4</c:v>
                </c:pt>
                <c:pt idx="1">
                  <c:v>MIT9312</c:v>
                </c:pt>
                <c:pt idx="2">
                  <c:v>MIT9215</c:v>
                </c:pt>
                <c:pt idx="3">
                  <c:v>MIT1314</c:v>
                </c:pt>
                <c:pt idx="4">
                  <c:v>MIT9301</c:v>
                </c:pt>
                <c:pt idx="5">
                  <c:v>MIT9202</c:v>
                </c:pt>
                <c:pt idx="6">
                  <c:v>AS9601</c:v>
                </c:pt>
                <c:pt idx="7">
                  <c:v>MIT0604</c:v>
                </c:pt>
                <c:pt idx="8">
                  <c:v>PAC1</c:v>
                </c:pt>
                <c:pt idx="9">
                  <c:v>MIT1327</c:v>
                </c:pt>
                <c:pt idx="10">
                  <c:v>MIT9313</c:v>
                </c:pt>
              </c:strCache>
            </c:strRef>
          </c:cat>
          <c:val>
            <c:numRef>
              <c:f>Sheet1!$AS$21:$AS$31</c:f>
              <c:numCache>
                <c:formatCode>0.00</c:formatCode>
                <c:ptCount val="11"/>
                <c:pt idx="0">
                  <c:v>13.5</c:v>
                </c:pt>
                <c:pt idx="1">
                  <c:v>20.2</c:v>
                </c:pt>
                <c:pt idx="2">
                  <c:v>25.05</c:v>
                </c:pt>
                <c:pt idx="3">
                  <c:v>21.23</c:v>
                </c:pt>
                <c:pt idx="4">
                  <c:v>21</c:v>
                </c:pt>
                <c:pt idx="5">
                  <c:v>27.07</c:v>
                </c:pt>
                <c:pt idx="6">
                  <c:v>26.32</c:v>
                </c:pt>
                <c:pt idx="7">
                  <c:v>17.43</c:v>
                </c:pt>
                <c:pt idx="8">
                  <c:v>21.4</c:v>
                </c:pt>
                <c:pt idx="9">
                  <c:v>21.23</c:v>
                </c:pt>
                <c:pt idx="10">
                  <c:v>20.2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3B-4167-9EF1-DBFB192F2334}"/>
            </c:ext>
          </c:extLst>
        </c:ser>
        <c:ser>
          <c:idx val="1"/>
          <c:order val="1"/>
          <c:tx>
            <c:v>Interpolated measurements</c:v>
          </c:tx>
          <c:spPr>
            <a:solidFill>
              <a:srgbClr val="A3C9AA"/>
            </a:solidFill>
            <a:ln>
              <a:noFill/>
            </a:ln>
            <a:effectLst/>
          </c:spPr>
          <c:invertIfNegative val="0"/>
          <c:cat>
            <c:strRef>
              <c:f>Sheet1!$AR$21:$AR$31</c:f>
              <c:strCache>
                <c:ptCount val="11"/>
                <c:pt idx="0">
                  <c:v>MED4</c:v>
                </c:pt>
                <c:pt idx="1">
                  <c:v>MIT9312</c:v>
                </c:pt>
                <c:pt idx="2">
                  <c:v>MIT9215</c:v>
                </c:pt>
                <c:pt idx="3">
                  <c:v>MIT1314</c:v>
                </c:pt>
                <c:pt idx="4">
                  <c:v>MIT9301</c:v>
                </c:pt>
                <c:pt idx="5">
                  <c:v>MIT9202</c:v>
                </c:pt>
                <c:pt idx="6">
                  <c:v>AS9601</c:v>
                </c:pt>
                <c:pt idx="7">
                  <c:v>MIT0604</c:v>
                </c:pt>
                <c:pt idx="8">
                  <c:v>PAC1</c:v>
                </c:pt>
                <c:pt idx="9">
                  <c:v>MIT1327</c:v>
                </c:pt>
                <c:pt idx="10">
                  <c:v>MIT9313</c:v>
                </c:pt>
              </c:strCache>
            </c:strRef>
          </c:cat>
          <c:val>
            <c:numRef>
              <c:f>Sheet1!$AT$21:$AT$31</c:f>
              <c:numCache>
                <c:formatCode>General</c:formatCode>
                <c:ptCount val="11"/>
                <c:pt idx="0">
                  <c:v>13.34</c:v>
                </c:pt>
                <c:pt idx="1">
                  <c:v>19.54</c:v>
                </c:pt>
                <c:pt idx="2">
                  <c:v>25.61</c:v>
                </c:pt>
                <c:pt idx="3">
                  <c:v>20.34</c:v>
                </c:pt>
                <c:pt idx="4" formatCode="0.00">
                  <c:v>20.05</c:v>
                </c:pt>
                <c:pt idx="5" formatCode="0.00">
                  <c:v>26.77</c:v>
                </c:pt>
                <c:pt idx="6" formatCode="0.00">
                  <c:v>26.52</c:v>
                </c:pt>
                <c:pt idx="7">
                  <c:v>20.04</c:v>
                </c:pt>
                <c:pt idx="8" formatCode="0.00">
                  <c:v>21.85</c:v>
                </c:pt>
                <c:pt idx="9">
                  <c:v>20.34</c:v>
                </c:pt>
                <c:pt idx="10" formatCode="0.00">
                  <c:v>19.54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3B-4167-9EF1-DBFB192F2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3696559"/>
        <c:axId val="350894111"/>
      </c:barChart>
      <c:catAx>
        <c:axId val="126369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alpha val="98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IL"/>
          </a:p>
        </c:txPr>
        <c:crossAx val="350894111"/>
        <c:crosses val="autoZero"/>
        <c:auto val="1"/>
        <c:lblAlgn val="ctr"/>
        <c:lblOffset val="100"/>
        <c:noMultiLvlLbl val="0"/>
      </c:catAx>
      <c:valAx>
        <c:axId val="3508941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Temperature (C)</a:t>
                </a:r>
                <a:endParaRPr lang="en-I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IL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IL"/>
          </a:p>
        </c:txPr>
        <c:crossAx val="1263696559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Cruise measurments </c:v>
          </c:tx>
          <c:spPr>
            <a:solidFill>
              <a:srgbClr val="C68484"/>
            </a:solidFill>
            <a:ln>
              <a:noFill/>
            </a:ln>
            <a:effectLst/>
          </c:spPr>
          <c:invertIfNegative val="0"/>
          <c:cat>
            <c:strRef>
              <c:f>Sheet1!$AR$21:$AR$31</c:f>
              <c:strCache>
                <c:ptCount val="11"/>
                <c:pt idx="0">
                  <c:v>MED4</c:v>
                </c:pt>
                <c:pt idx="1">
                  <c:v>MIT9312</c:v>
                </c:pt>
                <c:pt idx="2">
                  <c:v>MIT9215</c:v>
                </c:pt>
                <c:pt idx="3">
                  <c:v>MIT1314</c:v>
                </c:pt>
                <c:pt idx="4">
                  <c:v>MIT9301</c:v>
                </c:pt>
                <c:pt idx="5">
                  <c:v>MIT9202</c:v>
                </c:pt>
                <c:pt idx="6">
                  <c:v>AS9601</c:v>
                </c:pt>
                <c:pt idx="7">
                  <c:v>MIT0604</c:v>
                </c:pt>
                <c:pt idx="8">
                  <c:v>PAC1</c:v>
                </c:pt>
                <c:pt idx="9">
                  <c:v>MIT1327</c:v>
                </c:pt>
                <c:pt idx="10">
                  <c:v>MIT9313</c:v>
                </c:pt>
              </c:strCache>
            </c:strRef>
          </c:cat>
          <c:val>
            <c:numRef>
              <c:f>Sheet1!$AS$21:$AS$31</c:f>
              <c:numCache>
                <c:formatCode>0.00</c:formatCode>
                <c:ptCount val="11"/>
                <c:pt idx="0">
                  <c:v>13.5</c:v>
                </c:pt>
                <c:pt idx="1">
                  <c:v>20.2</c:v>
                </c:pt>
                <c:pt idx="2">
                  <c:v>25.05</c:v>
                </c:pt>
                <c:pt idx="3">
                  <c:v>21.23</c:v>
                </c:pt>
                <c:pt idx="4">
                  <c:v>21</c:v>
                </c:pt>
                <c:pt idx="5">
                  <c:v>27.07</c:v>
                </c:pt>
                <c:pt idx="6">
                  <c:v>26.32</c:v>
                </c:pt>
                <c:pt idx="7">
                  <c:v>17.43</c:v>
                </c:pt>
                <c:pt idx="8">
                  <c:v>21.4</c:v>
                </c:pt>
                <c:pt idx="9">
                  <c:v>21.23</c:v>
                </c:pt>
                <c:pt idx="10">
                  <c:v>20.2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9-419E-B314-3CFB0083FF50}"/>
            </c:ext>
          </c:extLst>
        </c:ser>
        <c:ser>
          <c:idx val="1"/>
          <c:order val="1"/>
          <c:tx>
            <c:v>Interpolated measurments (WOA)</c:v>
          </c:tx>
          <c:spPr>
            <a:solidFill>
              <a:srgbClr val="A3C9AA"/>
            </a:solidFill>
            <a:ln>
              <a:noFill/>
            </a:ln>
            <a:effectLst/>
          </c:spPr>
          <c:invertIfNegative val="0"/>
          <c:cat>
            <c:strRef>
              <c:f>Sheet1!$AR$21:$AR$31</c:f>
              <c:strCache>
                <c:ptCount val="11"/>
                <c:pt idx="0">
                  <c:v>MED4</c:v>
                </c:pt>
                <c:pt idx="1">
                  <c:v>MIT9312</c:v>
                </c:pt>
                <c:pt idx="2">
                  <c:v>MIT9215</c:v>
                </c:pt>
                <c:pt idx="3">
                  <c:v>MIT1314</c:v>
                </c:pt>
                <c:pt idx="4">
                  <c:v>MIT9301</c:v>
                </c:pt>
                <c:pt idx="5">
                  <c:v>MIT9202</c:v>
                </c:pt>
                <c:pt idx="6">
                  <c:v>AS9601</c:v>
                </c:pt>
                <c:pt idx="7">
                  <c:v>MIT0604</c:v>
                </c:pt>
                <c:pt idx="8">
                  <c:v>PAC1</c:v>
                </c:pt>
                <c:pt idx="9">
                  <c:v>MIT1327</c:v>
                </c:pt>
                <c:pt idx="10">
                  <c:v>MIT9313</c:v>
                </c:pt>
              </c:strCache>
            </c:strRef>
          </c:cat>
          <c:val>
            <c:numRef>
              <c:f>Sheet1!$AT$21:$AT$31</c:f>
              <c:numCache>
                <c:formatCode>General</c:formatCode>
                <c:ptCount val="11"/>
                <c:pt idx="0">
                  <c:v>13.34</c:v>
                </c:pt>
                <c:pt idx="1">
                  <c:v>19.54</c:v>
                </c:pt>
                <c:pt idx="2">
                  <c:v>25.61</c:v>
                </c:pt>
                <c:pt idx="3">
                  <c:v>20.34</c:v>
                </c:pt>
                <c:pt idx="4" formatCode="0.00">
                  <c:v>20.05</c:v>
                </c:pt>
                <c:pt idx="5" formatCode="0.00">
                  <c:v>26.77</c:v>
                </c:pt>
                <c:pt idx="6" formatCode="0.00">
                  <c:v>26.52</c:v>
                </c:pt>
                <c:pt idx="7">
                  <c:v>20.04</c:v>
                </c:pt>
                <c:pt idx="8" formatCode="0.00">
                  <c:v>21.85</c:v>
                </c:pt>
                <c:pt idx="9">
                  <c:v>20.34</c:v>
                </c:pt>
                <c:pt idx="10" formatCode="0.00">
                  <c:v>19.54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69-419E-B314-3CFB0083F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3696559"/>
        <c:axId val="350894111"/>
      </c:barChart>
      <c:catAx>
        <c:axId val="126369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alpha val="98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IL"/>
          </a:p>
        </c:txPr>
        <c:crossAx val="350894111"/>
        <c:crosses val="autoZero"/>
        <c:auto val="1"/>
        <c:lblAlgn val="ctr"/>
        <c:lblOffset val="100"/>
        <c:noMultiLvlLbl val="0"/>
      </c:catAx>
      <c:valAx>
        <c:axId val="3508941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Temperature (C)</a:t>
                </a:r>
                <a:endParaRPr lang="en-IL" sz="2000" b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IL"/>
          </a:p>
        </c:txPr>
        <c:crossAx val="1263696559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68484"/>
            </a:solidFill>
            <a:ln>
              <a:noFill/>
            </a:ln>
            <a:effectLst/>
          </c:spPr>
          <c:invertIfNegative val="0"/>
          <c:cat>
            <c:strRef>
              <c:f>Sheet1!$AM$20:$AM$22</c:f>
              <c:strCache>
                <c:ptCount val="3"/>
                <c:pt idx="0">
                  <c:v>MED4</c:v>
                </c:pt>
                <c:pt idx="1">
                  <c:v>MIT9215</c:v>
                </c:pt>
                <c:pt idx="2">
                  <c:v>AS9601</c:v>
                </c:pt>
              </c:strCache>
            </c:strRef>
          </c:cat>
          <c:val>
            <c:numRef>
              <c:f>Sheet1!$AN$20:$AN$22</c:f>
              <c:numCache>
                <c:formatCode>0.00</c:formatCode>
                <c:ptCount val="3"/>
                <c:pt idx="0">
                  <c:v>1</c:v>
                </c:pt>
                <c:pt idx="1">
                  <c:v>6.28</c:v>
                </c:pt>
                <c:pt idx="2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0-46F4-A09B-DEDA2BB9EBAF}"/>
            </c:ext>
          </c:extLst>
        </c:ser>
        <c:ser>
          <c:idx val="1"/>
          <c:order val="1"/>
          <c:tx>
            <c:v>Interpolated measurements</c:v>
          </c:tx>
          <c:spPr>
            <a:solidFill>
              <a:srgbClr val="A3C9AA"/>
            </a:solidFill>
            <a:ln>
              <a:noFill/>
            </a:ln>
            <a:effectLst/>
          </c:spPr>
          <c:invertIfNegative val="0"/>
          <c:cat>
            <c:strRef>
              <c:f>Sheet1!$AM$20:$AM$22</c:f>
              <c:strCache>
                <c:ptCount val="3"/>
                <c:pt idx="0">
                  <c:v>MED4</c:v>
                </c:pt>
                <c:pt idx="1">
                  <c:v>MIT9215</c:v>
                </c:pt>
                <c:pt idx="2">
                  <c:v>AS9601</c:v>
                </c:pt>
              </c:strCache>
            </c:strRef>
          </c:cat>
          <c:val>
            <c:numRef>
              <c:f>Sheet1!$AO$20:$AO$22</c:f>
              <c:numCache>
                <c:formatCode>General</c:formatCode>
                <c:ptCount val="3"/>
                <c:pt idx="0">
                  <c:v>2.36</c:v>
                </c:pt>
                <c:pt idx="1">
                  <c:v>5.73</c:v>
                </c:pt>
                <c:pt idx="2" formatCode="0.00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00-46F4-A09B-DEDA2BB9E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3696559"/>
        <c:axId val="350894111"/>
      </c:barChart>
      <c:catAx>
        <c:axId val="126369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alpha val="98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IL"/>
          </a:p>
        </c:txPr>
        <c:crossAx val="350894111"/>
        <c:crosses val="autoZero"/>
        <c:auto val="1"/>
        <c:lblAlgn val="ctr"/>
        <c:lblOffset val="100"/>
        <c:noMultiLvlLbl val="0"/>
      </c:catAx>
      <c:valAx>
        <c:axId val="3508941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Nitrate (µmol/kg)</a:t>
                </a:r>
                <a:endParaRPr lang="en-I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IL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IL"/>
          </a:p>
        </c:txPr>
        <c:crossAx val="1263696559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58221081033375"/>
          <c:y val="7.1637653838573165E-2"/>
          <c:w val="0.80949534340440921"/>
          <c:h val="0.65359930444582226"/>
        </c:manualLayout>
      </c:layout>
      <c:barChart>
        <c:barDir val="col"/>
        <c:grouping val="clustered"/>
        <c:varyColors val="0"/>
        <c:ser>
          <c:idx val="0"/>
          <c:order val="0"/>
          <c:tx>
            <c:v>Cruise measurments </c:v>
          </c:tx>
          <c:spPr>
            <a:solidFill>
              <a:srgbClr val="C68484"/>
            </a:solidFill>
            <a:ln>
              <a:noFill/>
            </a:ln>
            <a:effectLst/>
          </c:spPr>
          <c:invertIfNegative val="0"/>
          <c:cat>
            <c:strRef>
              <c:f>Sheet1!$AM$29:$AM$35</c:f>
              <c:strCache>
                <c:ptCount val="7"/>
                <c:pt idx="0">
                  <c:v>MED4</c:v>
                </c:pt>
                <c:pt idx="1">
                  <c:v>MIT9215</c:v>
                </c:pt>
                <c:pt idx="2">
                  <c:v>MIT1314</c:v>
                </c:pt>
                <c:pt idx="3">
                  <c:v>AS9601</c:v>
                </c:pt>
                <c:pt idx="4">
                  <c:v>MIT0604</c:v>
                </c:pt>
                <c:pt idx="5">
                  <c:v>PAC1</c:v>
                </c:pt>
                <c:pt idx="6">
                  <c:v>MIT1327</c:v>
                </c:pt>
              </c:strCache>
            </c:strRef>
          </c:cat>
          <c:val>
            <c:numRef>
              <c:f>Sheet1!$AN$29:$AN$35</c:f>
              <c:numCache>
                <c:formatCode>0.00</c:formatCode>
                <c:ptCount val="7"/>
                <c:pt idx="0">
                  <c:v>0.35</c:v>
                </c:pt>
                <c:pt idx="1">
                  <c:v>0.82</c:v>
                </c:pt>
                <c:pt idx="2">
                  <c:v>0.12</c:v>
                </c:pt>
                <c:pt idx="3">
                  <c:v>0.55000000000000004</c:v>
                </c:pt>
                <c:pt idx="4">
                  <c:v>0.4</c:v>
                </c:pt>
                <c:pt idx="5">
                  <c:v>0.08</c:v>
                </c:pt>
                <c:pt idx="6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3F-452C-8B81-A2FE4151A254}"/>
            </c:ext>
          </c:extLst>
        </c:ser>
        <c:ser>
          <c:idx val="1"/>
          <c:order val="1"/>
          <c:spPr>
            <a:solidFill>
              <a:srgbClr val="A3C9AA"/>
            </a:solidFill>
            <a:ln>
              <a:noFill/>
            </a:ln>
            <a:effectLst/>
          </c:spPr>
          <c:invertIfNegative val="0"/>
          <c:cat>
            <c:strRef>
              <c:f>Sheet1!$AM$29:$AM$35</c:f>
              <c:strCache>
                <c:ptCount val="7"/>
                <c:pt idx="0">
                  <c:v>MED4</c:v>
                </c:pt>
                <c:pt idx="1">
                  <c:v>MIT9215</c:v>
                </c:pt>
                <c:pt idx="2">
                  <c:v>MIT1314</c:v>
                </c:pt>
                <c:pt idx="3">
                  <c:v>AS9601</c:v>
                </c:pt>
                <c:pt idx="4">
                  <c:v>MIT0604</c:v>
                </c:pt>
                <c:pt idx="5">
                  <c:v>PAC1</c:v>
                </c:pt>
                <c:pt idx="6">
                  <c:v>MIT1327</c:v>
                </c:pt>
              </c:strCache>
            </c:strRef>
          </c:cat>
          <c:val>
            <c:numRef>
              <c:f>Sheet1!$AO$29:$AO$35</c:f>
              <c:numCache>
                <c:formatCode>General</c:formatCode>
                <c:ptCount val="7"/>
                <c:pt idx="0">
                  <c:v>0.11</c:v>
                </c:pt>
                <c:pt idx="1">
                  <c:v>0.76</c:v>
                </c:pt>
                <c:pt idx="2">
                  <c:v>0.13</c:v>
                </c:pt>
                <c:pt idx="3" formatCode="0.00">
                  <c:v>0.63</c:v>
                </c:pt>
                <c:pt idx="4">
                  <c:v>0.18</c:v>
                </c:pt>
                <c:pt idx="5" formatCode="0.00">
                  <c:v>0.08</c:v>
                </c:pt>
                <c:pt idx="6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3F-452C-8B81-A2FE4151A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3696559"/>
        <c:axId val="350894111"/>
      </c:barChart>
      <c:catAx>
        <c:axId val="126369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alpha val="98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IL"/>
          </a:p>
        </c:txPr>
        <c:crossAx val="350894111"/>
        <c:crosses val="autoZero"/>
        <c:auto val="1"/>
        <c:lblAlgn val="ctr"/>
        <c:lblOffset val="100"/>
        <c:noMultiLvlLbl val="0"/>
      </c:catAx>
      <c:valAx>
        <c:axId val="3508941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Phosphate (µmol/kg)</a:t>
                </a:r>
                <a:endParaRPr lang="en-I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IL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IL"/>
          </a:p>
        </c:txPr>
        <c:crossAx val="1263696559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204107</xdr:colOff>
      <xdr:row>23</xdr:row>
      <xdr:rowOff>27214</xdr:rowOff>
    </xdr:from>
    <xdr:to>
      <xdr:col>32</xdr:col>
      <xdr:colOff>202012</xdr:colOff>
      <xdr:row>41</xdr:row>
      <xdr:rowOff>60603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074EB75-C9BA-4460-AE3F-61A6DC9A18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285749</xdr:colOff>
      <xdr:row>23</xdr:row>
      <xdr:rowOff>63953</xdr:rowOff>
    </xdr:from>
    <xdr:to>
      <xdr:col>37</xdr:col>
      <xdr:colOff>406349</xdr:colOff>
      <xdr:row>41</xdr:row>
      <xdr:rowOff>97660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00A70C7-3595-4D69-825D-CD766BFF8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1047750</xdr:colOff>
      <xdr:row>44</xdr:row>
      <xdr:rowOff>23131</xdr:rowOff>
    </xdr:from>
    <xdr:to>
      <xdr:col>36</xdr:col>
      <xdr:colOff>721179</xdr:colOff>
      <xdr:row>58</xdr:row>
      <xdr:rowOff>99331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CA199AF-8677-4A8F-B59F-F3EBC815F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966106</xdr:colOff>
      <xdr:row>60</xdr:row>
      <xdr:rowOff>40820</xdr:rowOff>
    </xdr:from>
    <xdr:to>
      <xdr:col>36</xdr:col>
      <xdr:colOff>639535</xdr:colOff>
      <xdr:row>74</xdr:row>
      <xdr:rowOff>117020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70CB3C4-D6DC-4273-8F49-7E1AFCCAFD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866775</xdr:colOff>
      <xdr:row>23</xdr:row>
      <xdr:rowOff>123825</xdr:rowOff>
    </xdr:from>
    <xdr:to>
      <xdr:col>26</xdr:col>
      <xdr:colOff>578930</xdr:colOff>
      <xdr:row>41</xdr:row>
      <xdr:rowOff>157214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083264-F23B-4F3A-A216-B74BC3144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0</xdr:colOff>
      <xdr:row>44</xdr:row>
      <xdr:rowOff>0</xdr:rowOff>
    </xdr:from>
    <xdr:to>
      <xdr:col>31</xdr:col>
      <xdr:colOff>1045655</xdr:colOff>
      <xdr:row>62</xdr:row>
      <xdr:rowOff>157214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27051D-0AE9-499A-B90F-7F2538E80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0</xdr:colOff>
      <xdr:row>65</xdr:row>
      <xdr:rowOff>0</xdr:rowOff>
    </xdr:from>
    <xdr:to>
      <xdr:col>31</xdr:col>
      <xdr:colOff>1045655</xdr:colOff>
      <xdr:row>83</xdr:row>
      <xdr:rowOff>157214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7FC139-A8A0-426C-95A4-F37A73D57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48</xdr:col>
      <xdr:colOff>277091</xdr:colOff>
      <xdr:row>49</xdr:row>
      <xdr:rowOff>24988</xdr:rowOff>
    </xdr:from>
    <xdr:to>
      <xdr:col>58</xdr:col>
      <xdr:colOff>68035</xdr:colOff>
      <xdr:row>71</xdr:row>
      <xdr:rowOff>136071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5B76407-A66D-7CF3-EB03-731C740D2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37</xdr:col>
      <xdr:colOff>775607</xdr:colOff>
      <xdr:row>36</xdr:row>
      <xdr:rowOff>68036</xdr:rowOff>
    </xdr:from>
    <xdr:to>
      <xdr:col>47</xdr:col>
      <xdr:colOff>145967</xdr:colOff>
      <xdr:row>51</xdr:row>
      <xdr:rowOff>32906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2D34F69-25AC-404F-AF95-1C1337BDE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38</xdr:col>
      <xdr:colOff>-1</xdr:colOff>
      <xdr:row>52</xdr:row>
      <xdr:rowOff>0</xdr:rowOff>
    </xdr:from>
    <xdr:to>
      <xdr:col>45</xdr:col>
      <xdr:colOff>29527</xdr:colOff>
      <xdr:row>70</xdr:row>
      <xdr:rowOff>159449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279BF67-CFC2-46BE-B2EC-8B1CBA25CD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38</xdr:col>
      <xdr:colOff>20875</xdr:colOff>
      <xdr:row>72</xdr:row>
      <xdr:rowOff>10438</xdr:rowOff>
    </xdr:from>
    <xdr:to>
      <xdr:col>46</xdr:col>
      <xdr:colOff>13607</xdr:colOff>
      <xdr:row>95</xdr:row>
      <xdr:rowOff>27214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0A725B-A417-44FA-A33F-7D819037DC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ahana.soest.hawaii.edu/hot/hot-dogs/bextraction.htm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hahana.soest.hawaii.edu/hoephor/hoephor.html" TargetMode="External"/><Relationship Id="rId1" Type="http://schemas.openxmlformats.org/officeDocument/2006/relationships/hyperlink" Target="https://journals.asm.org/doi/full/10.1128/aem.68.3.1180-1191.2002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movable-type.co.uk/scripts/latlong.html" TargetMode="External"/><Relationship Id="rId4" Type="http://schemas.openxmlformats.org/officeDocument/2006/relationships/hyperlink" Target="https://hahana.soest.hawaii.edu/hoephor/hoepho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A8B0-B5DC-4DB0-9CEC-8C41A8ED042A}">
  <dimension ref="A1:BD43"/>
  <sheetViews>
    <sheetView tabSelected="1" topLeftCell="A9" zoomScale="56" zoomScaleNormal="100" workbookViewId="0">
      <pane xSplit="1" topLeftCell="P1" activePane="topRight" state="frozen"/>
      <selection pane="topRight" activeCell="W46" sqref="W46"/>
    </sheetView>
  </sheetViews>
  <sheetFormatPr defaultColWidth="9" defaultRowHeight="14.4" x14ac:dyDescent="0.3"/>
  <cols>
    <col min="1" max="1" width="9.77734375" style="4" bestFit="1" customWidth="1"/>
    <col min="2" max="2" width="12" style="4" bestFit="1" customWidth="1"/>
    <col min="3" max="3" width="5.6640625" style="4" bestFit="1" customWidth="1"/>
    <col min="4" max="4" width="5.6640625" style="4" customWidth="1"/>
    <col min="5" max="5" width="12" style="4" bestFit="1" customWidth="1"/>
    <col min="6" max="6" width="24.21875" style="4" bestFit="1" customWidth="1"/>
    <col min="7" max="7" width="15.44140625" style="4" customWidth="1"/>
    <col min="8" max="8" width="14.33203125" style="4" bestFit="1" customWidth="1"/>
    <col min="9" max="9" width="52.44140625" style="4" bestFit="1" customWidth="1"/>
    <col min="10" max="10" width="24.109375" style="4" bestFit="1" customWidth="1"/>
    <col min="11" max="11" width="10.109375" style="4" bestFit="1" customWidth="1"/>
    <col min="12" max="13" width="8.44140625" style="4" bestFit="1" customWidth="1"/>
    <col min="14" max="14" width="10.109375" style="4" bestFit="1" customWidth="1"/>
    <col min="15" max="15" width="14.33203125" style="4" bestFit="1" customWidth="1"/>
    <col min="16" max="20" width="8.44140625" style="4" bestFit="1" customWidth="1"/>
    <col min="21" max="21" width="11.21875" style="4" bestFit="1" customWidth="1"/>
    <col min="22" max="22" width="9.5546875" style="4" bestFit="1" customWidth="1"/>
    <col min="23" max="24" width="8.44140625" style="4" bestFit="1" customWidth="1"/>
    <col min="25" max="25" width="9" style="4"/>
    <col min="26" max="26" width="10.6640625" style="4" bestFit="1" customWidth="1"/>
    <col min="27" max="27" width="12.33203125" style="4" bestFit="1" customWidth="1"/>
    <col min="28" max="28" width="10.6640625" style="4" bestFit="1" customWidth="1"/>
    <col min="29" max="29" width="12.33203125" style="4" bestFit="1" customWidth="1"/>
    <col min="30" max="30" width="24.88671875" style="4" bestFit="1" customWidth="1"/>
    <col min="31" max="31" width="18.33203125" style="4" bestFit="1" customWidth="1"/>
    <col min="32" max="32" width="15.44140625" style="4" bestFit="1" customWidth="1"/>
    <col min="33" max="33" width="19.44140625" style="4" bestFit="1" customWidth="1"/>
    <col min="34" max="34" width="11.6640625" style="4" bestFit="1" customWidth="1"/>
    <col min="35" max="35" width="18.33203125" style="4" bestFit="1" customWidth="1"/>
    <col min="36" max="36" width="15.44140625" style="4" bestFit="1" customWidth="1"/>
    <col min="37" max="37" width="11" style="4" bestFit="1" customWidth="1"/>
    <col min="38" max="38" width="11.6640625" style="4" bestFit="1" customWidth="1"/>
    <col min="39" max="39" width="18.33203125" style="4" bestFit="1" customWidth="1"/>
    <col min="40" max="40" width="15.44140625" style="4" bestFit="1" customWidth="1"/>
    <col min="41" max="41" width="11" style="4" bestFit="1" customWidth="1"/>
    <col min="42" max="16384" width="9" style="4"/>
  </cols>
  <sheetData>
    <row r="1" spans="1:56" x14ac:dyDescent="0.3">
      <c r="A1" s="35" t="s">
        <v>0</v>
      </c>
      <c r="B1" s="35" t="s">
        <v>1</v>
      </c>
      <c r="C1" s="35" t="s">
        <v>45</v>
      </c>
      <c r="D1" s="50" t="s">
        <v>200</v>
      </c>
      <c r="E1" s="35" t="s">
        <v>1</v>
      </c>
      <c r="F1" s="35" t="s">
        <v>46</v>
      </c>
      <c r="G1" s="35" t="s">
        <v>47</v>
      </c>
      <c r="H1" s="35" t="s">
        <v>48</v>
      </c>
      <c r="I1" s="35" t="s">
        <v>2</v>
      </c>
      <c r="J1" s="35" t="s">
        <v>85</v>
      </c>
      <c r="K1" s="35" t="s">
        <v>195</v>
      </c>
      <c r="L1" s="35" t="s">
        <v>3</v>
      </c>
      <c r="M1" s="35"/>
      <c r="N1" s="35"/>
      <c r="O1" s="35"/>
      <c r="P1" s="35"/>
      <c r="Q1" s="35"/>
      <c r="R1" s="35"/>
      <c r="S1" s="35"/>
      <c r="T1" s="40" t="s">
        <v>4</v>
      </c>
      <c r="U1" s="41"/>
      <c r="V1" s="41"/>
      <c r="W1" s="41"/>
      <c r="X1" s="42"/>
      <c r="Y1" s="50" t="s">
        <v>94</v>
      </c>
      <c r="Z1" s="44" t="s">
        <v>178</v>
      </c>
      <c r="AA1" s="45"/>
      <c r="AB1" s="44" t="s">
        <v>189</v>
      </c>
      <c r="AC1" s="45"/>
      <c r="AD1" s="4" t="s">
        <v>191</v>
      </c>
      <c r="AE1" s="40" t="s">
        <v>194</v>
      </c>
      <c r="AF1" s="41"/>
      <c r="AG1" s="42"/>
      <c r="AH1" s="35" t="s">
        <v>160</v>
      </c>
      <c r="AI1" s="35"/>
      <c r="AJ1" s="35"/>
      <c r="AK1" s="35"/>
      <c r="AL1" s="35" t="s">
        <v>161</v>
      </c>
      <c r="AM1" s="35"/>
      <c r="AN1" s="35"/>
      <c r="AO1" s="35"/>
      <c r="AP1" s="35" t="s">
        <v>93</v>
      </c>
      <c r="AQ1" s="35"/>
      <c r="AR1" s="35"/>
      <c r="AS1" s="35"/>
      <c r="AT1" s="35"/>
    </row>
    <row r="2" spans="1:56" x14ac:dyDescent="0.3">
      <c r="A2" s="35"/>
      <c r="B2" s="35"/>
      <c r="C2" s="35"/>
      <c r="D2" s="51"/>
      <c r="E2" s="35"/>
      <c r="F2" s="35"/>
      <c r="G2" s="35"/>
      <c r="H2" s="35"/>
      <c r="I2" s="35"/>
      <c r="J2" s="35"/>
      <c r="K2" s="35"/>
      <c r="L2" s="5" t="s">
        <v>123</v>
      </c>
      <c r="M2" s="5" t="s">
        <v>124</v>
      </c>
      <c r="N2" s="5" t="s">
        <v>125</v>
      </c>
      <c r="O2" s="5" t="s">
        <v>128</v>
      </c>
      <c r="P2" s="5" t="s">
        <v>138</v>
      </c>
      <c r="Q2" s="5" t="s">
        <v>137</v>
      </c>
      <c r="R2" s="5" t="s">
        <v>136</v>
      </c>
      <c r="S2" s="5" t="s">
        <v>135</v>
      </c>
      <c r="T2" s="5" t="s">
        <v>129</v>
      </c>
      <c r="U2" s="5" t="s">
        <v>130</v>
      </c>
      <c r="V2" s="5" t="s">
        <v>131</v>
      </c>
      <c r="W2" s="5" t="s">
        <v>133</v>
      </c>
      <c r="X2" s="5" t="s">
        <v>134</v>
      </c>
      <c r="Y2" s="51"/>
      <c r="Z2" s="6" t="s">
        <v>177</v>
      </c>
      <c r="AA2" s="7" t="s">
        <v>187</v>
      </c>
      <c r="AB2" s="7" t="s">
        <v>177</v>
      </c>
      <c r="AC2" s="7" t="s">
        <v>187</v>
      </c>
      <c r="AD2" s="8" t="s">
        <v>190</v>
      </c>
      <c r="AE2" s="5" t="s">
        <v>162</v>
      </c>
      <c r="AF2" s="5" t="s">
        <v>163</v>
      </c>
      <c r="AG2" s="5" t="s">
        <v>164</v>
      </c>
      <c r="AH2" s="5" t="s">
        <v>48</v>
      </c>
      <c r="AI2" s="5" t="s">
        <v>162</v>
      </c>
      <c r="AJ2" s="5" t="s">
        <v>163</v>
      </c>
      <c r="AK2" s="5" t="s">
        <v>164</v>
      </c>
      <c r="AL2" s="5" t="s">
        <v>48</v>
      </c>
      <c r="AM2" s="5" t="s">
        <v>162</v>
      </c>
      <c r="AN2" s="5" t="s">
        <v>163</v>
      </c>
      <c r="AO2" s="5" t="s">
        <v>164</v>
      </c>
      <c r="AP2" s="5" t="s">
        <v>96</v>
      </c>
      <c r="AQ2" s="5" t="s">
        <v>97</v>
      </c>
      <c r="AR2" s="5" t="s">
        <v>98</v>
      </c>
      <c r="AS2" s="5" t="s">
        <v>99</v>
      </c>
      <c r="AT2" s="5" t="s">
        <v>95</v>
      </c>
    </row>
    <row r="3" spans="1:56" x14ac:dyDescent="0.3">
      <c r="A3" s="9" t="s">
        <v>76</v>
      </c>
      <c r="B3" s="1" t="s">
        <v>5</v>
      </c>
      <c r="C3" s="1" t="s">
        <v>49</v>
      </c>
      <c r="D3" s="1">
        <v>30.8</v>
      </c>
      <c r="E3" s="1" t="s">
        <v>5</v>
      </c>
      <c r="F3" s="1" t="s">
        <v>50</v>
      </c>
      <c r="G3" s="1">
        <v>5</v>
      </c>
      <c r="H3" s="1" t="s">
        <v>51</v>
      </c>
      <c r="I3" s="1" t="s">
        <v>6</v>
      </c>
      <c r="J3" s="1"/>
      <c r="K3" s="1">
        <v>13.5</v>
      </c>
      <c r="L3" s="1"/>
      <c r="M3" s="1" t="s">
        <v>82</v>
      </c>
      <c r="N3" s="1"/>
      <c r="O3" s="1"/>
      <c r="P3" s="1"/>
      <c r="Q3" s="1"/>
      <c r="R3" s="1"/>
      <c r="S3" s="1"/>
      <c r="T3" s="1" t="s">
        <v>83</v>
      </c>
      <c r="U3" s="1"/>
      <c r="V3" s="1"/>
      <c r="W3" s="1"/>
      <c r="X3" s="1"/>
      <c r="Y3" s="1" t="s">
        <v>7</v>
      </c>
      <c r="Z3" s="1">
        <v>43.12</v>
      </c>
      <c r="AA3" s="1">
        <v>6.52</v>
      </c>
      <c r="AB3" s="1">
        <v>42.5</v>
      </c>
      <c r="AC3" s="1" t="s">
        <v>180</v>
      </c>
      <c r="AD3" s="24">
        <v>68.959999999999994</v>
      </c>
      <c r="AE3" s="24">
        <v>13.34</v>
      </c>
      <c r="AF3" s="24">
        <v>13.25</v>
      </c>
      <c r="AG3" s="24">
        <v>16.91</v>
      </c>
      <c r="AH3" s="1" t="s">
        <v>165</v>
      </c>
      <c r="AI3" s="24">
        <v>2.36</v>
      </c>
      <c r="AJ3" s="24">
        <v>2.4</v>
      </c>
      <c r="AK3" s="24">
        <v>1.85</v>
      </c>
      <c r="AL3" s="1" t="s">
        <v>165</v>
      </c>
      <c r="AM3" s="24">
        <v>0.11</v>
      </c>
      <c r="AN3" s="24">
        <v>0.1</v>
      </c>
      <c r="AO3" s="24">
        <v>0.13</v>
      </c>
      <c r="AP3" s="10" t="s">
        <v>109</v>
      </c>
      <c r="AQ3" s="10" t="s">
        <v>110</v>
      </c>
      <c r="AR3" s="10" t="s">
        <v>111</v>
      </c>
      <c r="AS3" s="10" t="s">
        <v>112</v>
      </c>
      <c r="AT3" s="11" t="s">
        <v>100</v>
      </c>
      <c r="AU3" s="12"/>
      <c r="AV3" s="12"/>
      <c r="AW3" s="12"/>
      <c r="AX3" s="12"/>
      <c r="AY3" s="12"/>
      <c r="AZ3" s="12"/>
      <c r="BA3" s="12"/>
      <c r="BB3" s="12"/>
    </row>
    <row r="4" spans="1:56" ht="16.5" customHeight="1" x14ac:dyDescent="0.3">
      <c r="A4" s="5" t="s">
        <v>8</v>
      </c>
      <c r="B4" s="1" t="s">
        <v>9</v>
      </c>
      <c r="C4" s="1" t="s">
        <v>52</v>
      </c>
      <c r="D4" s="1">
        <v>30.8</v>
      </c>
      <c r="E4" s="1" t="s">
        <v>9</v>
      </c>
      <c r="F4" s="1" t="s">
        <v>53</v>
      </c>
      <c r="G4" s="1">
        <v>15</v>
      </c>
      <c r="H4" s="1" t="s">
        <v>54</v>
      </c>
      <c r="I4" s="1" t="s">
        <v>10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>
        <v>-5.7</v>
      </c>
      <c r="AA4" s="1">
        <v>-107.1</v>
      </c>
      <c r="AB4" s="1">
        <v>-5.5</v>
      </c>
      <c r="AC4" s="1" t="s">
        <v>181</v>
      </c>
      <c r="AD4" s="24">
        <v>376.9</v>
      </c>
      <c r="AE4" s="1">
        <v>26.81</v>
      </c>
      <c r="AF4" s="1">
        <v>26.93</v>
      </c>
      <c r="AG4" s="2">
        <v>24.89</v>
      </c>
      <c r="AH4" s="1" t="s">
        <v>166</v>
      </c>
      <c r="AI4" s="1" t="s">
        <v>167</v>
      </c>
      <c r="AJ4" s="24">
        <v>2.84</v>
      </c>
      <c r="AK4" s="1">
        <v>9.16</v>
      </c>
      <c r="AL4" s="1" t="s">
        <v>166</v>
      </c>
      <c r="AM4" s="1" t="s">
        <v>167</v>
      </c>
      <c r="AN4" s="24">
        <v>0.4</v>
      </c>
      <c r="AO4" s="24">
        <v>0.8</v>
      </c>
      <c r="AP4" s="10" t="s">
        <v>109</v>
      </c>
      <c r="AQ4" s="10" t="s">
        <v>113</v>
      </c>
      <c r="AR4" s="13"/>
      <c r="AS4" s="13"/>
      <c r="AT4" s="13"/>
      <c r="AU4" s="12"/>
      <c r="AV4" s="12"/>
      <c r="AW4" s="12"/>
      <c r="AX4" s="12"/>
      <c r="AY4" s="12"/>
      <c r="AZ4" s="12"/>
      <c r="BA4" s="12"/>
      <c r="BB4" s="12"/>
    </row>
    <row r="5" spans="1:56" x14ac:dyDescent="0.3">
      <c r="A5" s="5" t="s">
        <v>79</v>
      </c>
      <c r="B5" s="1" t="s">
        <v>11</v>
      </c>
      <c r="C5" s="1" t="s">
        <v>55</v>
      </c>
      <c r="D5" s="1">
        <v>31.2</v>
      </c>
      <c r="E5" s="1" t="s">
        <v>56</v>
      </c>
      <c r="F5" s="1" t="s">
        <v>57</v>
      </c>
      <c r="G5" s="1">
        <v>135</v>
      </c>
      <c r="H5" s="1" t="s">
        <v>58</v>
      </c>
      <c r="I5" s="1" t="s">
        <v>12</v>
      </c>
      <c r="J5" s="1"/>
      <c r="K5" s="1" t="s">
        <v>77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>
        <v>37.5</v>
      </c>
      <c r="AA5" s="1">
        <v>-68.2</v>
      </c>
      <c r="AB5" s="1">
        <v>37.5</v>
      </c>
      <c r="AC5" s="3">
        <v>-69.5</v>
      </c>
      <c r="AD5" s="3">
        <v>114.7</v>
      </c>
      <c r="AE5" s="25">
        <v>19.54</v>
      </c>
      <c r="AF5" s="25">
        <v>20.64</v>
      </c>
      <c r="AG5" s="25">
        <v>20.3</v>
      </c>
      <c r="AH5" s="3" t="s">
        <v>188</v>
      </c>
      <c r="AI5" s="3">
        <v>1.47</v>
      </c>
      <c r="AJ5" s="3" t="s">
        <v>167</v>
      </c>
      <c r="AK5" s="25">
        <v>0.97</v>
      </c>
      <c r="AL5" s="3" t="s">
        <v>188</v>
      </c>
      <c r="AM5" s="25">
        <v>0.36</v>
      </c>
      <c r="AN5" s="25">
        <v>0.02</v>
      </c>
      <c r="AO5" s="25">
        <v>0.04</v>
      </c>
      <c r="AP5" s="10" t="s">
        <v>109</v>
      </c>
      <c r="AQ5" s="10" t="s">
        <v>114</v>
      </c>
      <c r="AR5" s="10" t="s">
        <v>115</v>
      </c>
      <c r="AS5" s="13"/>
      <c r="AT5" s="13" t="s">
        <v>101</v>
      </c>
      <c r="AU5" s="12"/>
      <c r="AV5" s="12"/>
      <c r="AW5" s="12"/>
      <c r="AX5" s="12"/>
      <c r="AY5" s="12"/>
      <c r="AZ5" s="12"/>
      <c r="BA5" s="12"/>
      <c r="BB5" s="12"/>
    </row>
    <row r="6" spans="1:56" x14ac:dyDescent="0.3">
      <c r="A6" s="9" t="s">
        <v>13</v>
      </c>
      <c r="B6" s="1" t="s">
        <v>14</v>
      </c>
      <c r="C6" s="1" t="s">
        <v>55</v>
      </c>
      <c r="D6" s="1">
        <v>31.1</v>
      </c>
      <c r="E6" s="1" t="s">
        <v>14</v>
      </c>
      <c r="F6" s="1" t="s">
        <v>59</v>
      </c>
      <c r="G6" s="1">
        <v>5</v>
      </c>
      <c r="H6" s="1" t="s">
        <v>60</v>
      </c>
      <c r="I6" s="1" t="s">
        <v>15</v>
      </c>
      <c r="J6" s="1" t="s">
        <v>88</v>
      </c>
      <c r="K6" s="1">
        <v>25.05</v>
      </c>
      <c r="L6" s="1">
        <v>0.08</v>
      </c>
      <c r="M6" s="1">
        <v>6.28</v>
      </c>
      <c r="N6" s="1">
        <v>0.23</v>
      </c>
      <c r="O6" s="1">
        <f>M6+N6</f>
        <v>6.5100000000000007</v>
      </c>
      <c r="P6" s="1"/>
      <c r="Q6" s="1"/>
      <c r="R6" s="1"/>
      <c r="S6" s="1"/>
      <c r="T6" s="1">
        <v>0.82</v>
      </c>
      <c r="U6" s="1"/>
      <c r="V6" s="1"/>
      <c r="W6" s="1"/>
      <c r="X6" s="1"/>
      <c r="Y6" s="1" t="s">
        <v>7</v>
      </c>
      <c r="Z6" s="1">
        <v>0</v>
      </c>
      <c r="AA6" s="1">
        <v>-140</v>
      </c>
      <c r="AB6" s="1" t="s">
        <v>179</v>
      </c>
      <c r="AC6" s="1" t="s">
        <v>182</v>
      </c>
      <c r="AD6" s="24">
        <v>55.6</v>
      </c>
      <c r="AE6" s="24">
        <v>25.61</v>
      </c>
      <c r="AF6" s="24">
        <v>25.98</v>
      </c>
      <c r="AG6" s="24">
        <v>26.59</v>
      </c>
      <c r="AH6" s="1" t="s">
        <v>168</v>
      </c>
      <c r="AI6" s="24">
        <v>5.73</v>
      </c>
      <c r="AJ6" s="24">
        <v>5.73</v>
      </c>
      <c r="AK6" s="24">
        <v>3.98</v>
      </c>
      <c r="AL6" s="1" t="s">
        <v>168</v>
      </c>
      <c r="AM6" s="24">
        <v>0.76</v>
      </c>
      <c r="AN6" s="24">
        <v>0.76</v>
      </c>
      <c r="AO6" s="24">
        <v>0.56000000000000005</v>
      </c>
      <c r="AP6" s="10" t="s">
        <v>109</v>
      </c>
      <c r="AQ6" s="10" t="s">
        <v>116</v>
      </c>
      <c r="AR6" s="10" t="s">
        <v>117</v>
      </c>
      <c r="AS6" s="13"/>
      <c r="AT6" s="13"/>
      <c r="AU6" s="12"/>
      <c r="AV6" s="12"/>
      <c r="AW6" s="12"/>
      <c r="AX6" s="12"/>
      <c r="AY6" s="12"/>
      <c r="AZ6" s="12"/>
      <c r="BA6" s="12"/>
      <c r="BB6" s="12"/>
    </row>
    <row r="7" spans="1:56" x14ac:dyDescent="0.3">
      <c r="A7" s="9" t="s">
        <v>16</v>
      </c>
      <c r="B7" s="1" t="s">
        <v>17</v>
      </c>
      <c r="C7" s="1" t="s">
        <v>55</v>
      </c>
      <c r="D7" s="1">
        <v>31.16</v>
      </c>
      <c r="E7" s="1" t="s">
        <v>17</v>
      </c>
      <c r="F7" s="1" t="s">
        <v>61</v>
      </c>
      <c r="G7" s="1">
        <v>150</v>
      </c>
      <c r="H7" s="1" t="s">
        <v>62</v>
      </c>
      <c r="I7" s="1" t="s">
        <v>18</v>
      </c>
      <c r="J7" s="14" t="s">
        <v>84</v>
      </c>
      <c r="K7" s="1">
        <v>21.23</v>
      </c>
      <c r="L7" s="1"/>
      <c r="M7" s="1"/>
      <c r="N7" s="1"/>
      <c r="O7" s="1">
        <v>0.77</v>
      </c>
      <c r="P7" s="1">
        <v>0.23</v>
      </c>
      <c r="Q7" s="1"/>
      <c r="R7" s="1"/>
      <c r="S7" s="1"/>
      <c r="T7" s="1">
        <v>0.12</v>
      </c>
      <c r="U7" s="1">
        <v>0.12</v>
      </c>
      <c r="V7" s="1">
        <v>7.73</v>
      </c>
      <c r="W7" s="1"/>
      <c r="X7" s="1"/>
      <c r="Y7" s="1" t="s">
        <v>19</v>
      </c>
      <c r="Z7" s="1">
        <v>22.75</v>
      </c>
      <c r="AA7" s="1">
        <v>-158</v>
      </c>
      <c r="AB7" s="1">
        <v>22.5</v>
      </c>
      <c r="AC7" s="3" t="s">
        <v>183</v>
      </c>
      <c r="AD7" s="25">
        <v>58.36</v>
      </c>
      <c r="AE7" s="25">
        <v>20.34</v>
      </c>
      <c r="AF7" s="25">
        <v>20.99</v>
      </c>
      <c r="AG7" s="25">
        <v>20.93</v>
      </c>
      <c r="AH7" s="3" t="s">
        <v>169</v>
      </c>
      <c r="AI7" s="25">
        <v>0.93</v>
      </c>
      <c r="AJ7" s="25">
        <v>0.81</v>
      </c>
      <c r="AK7" s="25">
        <v>1.04</v>
      </c>
      <c r="AL7" s="3" t="s">
        <v>169</v>
      </c>
      <c r="AM7" s="25">
        <v>0.13</v>
      </c>
      <c r="AN7" s="25">
        <v>0.13</v>
      </c>
      <c r="AO7" s="25">
        <v>0.15</v>
      </c>
      <c r="AP7" s="13" t="s">
        <v>102</v>
      </c>
      <c r="AQ7" s="13"/>
      <c r="AR7" s="13"/>
      <c r="AS7" s="13"/>
      <c r="AT7" s="15" t="s">
        <v>103</v>
      </c>
      <c r="AU7" s="12"/>
      <c r="AV7" s="12"/>
      <c r="AW7" s="12"/>
      <c r="AX7" s="12"/>
      <c r="AY7" s="12"/>
      <c r="AZ7" s="12"/>
      <c r="BA7" s="12"/>
      <c r="BB7" s="12"/>
      <c r="BC7" s="12"/>
      <c r="BD7" s="12"/>
    </row>
    <row r="8" spans="1:56" x14ac:dyDescent="0.3">
      <c r="A8" s="5" t="s">
        <v>80</v>
      </c>
      <c r="B8" s="1" t="s">
        <v>20</v>
      </c>
      <c r="C8" s="1" t="s">
        <v>55</v>
      </c>
      <c r="D8" s="1">
        <v>31.3</v>
      </c>
      <c r="E8" s="1" t="s">
        <v>56</v>
      </c>
      <c r="F8" s="1" t="s">
        <v>63</v>
      </c>
      <c r="G8" s="1">
        <v>90</v>
      </c>
      <c r="H8" s="1" t="s">
        <v>64</v>
      </c>
      <c r="I8" s="1" t="s">
        <v>12</v>
      </c>
      <c r="J8" s="1"/>
      <c r="K8" s="1" t="s">
        <v>78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>
        <v>34.799999999999997</v>
      </c>
      <c r="AA8" s="1">
        <v>-66.2</v>
      </c>
      <c r="AB8" s="1">
        <v>34.5</v>
      </c>
      <c r="AC8" s="1">
        <v>-66.5</v>
      </c>
      <c r="AD8" s="1">
        <v>43.2</v>
      </c>
      <c r="AE8" s="1">
        <v>20.05</v>
      </c>
      <c r="AF8" s="1">
        <v>20.3</v>
      </c>
      <c r="AG8" s="1">
        <v>20.23</v>
      </c>
      <c r="AH8" s="1" t="s">
        <v>170</v>
      </c>
      <c r="AI8" s="1" t="s">
        <v>167</v>
      </c>
      <c r="AJ8" s="1">
        <v>0.36</v>
      </c>
      <c r="AK8" s="1">
        <v>0.28999999999999998</v>
      </c>
      <c r="AL8" s="1" t="s">
        <v>170</v>
      </c>
      <c r="AM8" s="1" t="s">
        <v>167</v>
      </c>
      <c r="AN8" s="1">
        <v>0.03</v>
      </c>
      <c r="AO8" s="1">
        <v>0.02</v>
      </c>
      <c r="AP8" s="10" t="s">
        <v>109</v>
      </c>
      <c r="AQ8" s="10" t="s">
        <v>113</v>
      </c>
      <c r="AR8" s="13"/>
      <c r="AS8" s="13"/>
      <c r="AT8" s="13" t="s">
        <v>101</v>
      </c>
      <c r="AU8" s="12"/>
      <c r="AV8" s="12"/>
      <c r="AW8" s="12"/>
      <c r="AX8" s="12"/>
      <c r="AY8" s="12"/>
      <c r="AZ8" s="12"/>
      <c r="BA8" s="12"/>
      <c r="BB8" s="12"/>
      <c r="BC8" s="12"/>
      <c r="BD8" s="12"/>
    </row>
    <row r="9" spans="1:56" x14ac:dyDescent="0.3">
      <c r="A9" s="9" t="s">
        <v>21</v>
      </c>
      <c r="B9" s="1" t="s">
        <v>22</v>
      </c>
      <c r="C9" s="1" t="s">
        <v>55</v>
      </c>
      <c r="D9" s="1">
        <v>31.1</v>
      </c>
      <c r="E9" s="1" t="s">
        <v>22</v>
      </c>
      <c r="F9" s="1" t="s">
        <v>53</v>
      </c>
      <c r="G9" s="1">
        <v>79</v>
      </c>
      <c r="H9" s="1" t="s">
        <v>65</v>
      </c>
      <c r="I9" s="1" t="s">
        <v>15</v>
      </c>
      <c r="J9" s="1" t="s">
        <v>89</v>
      </c>
      <c r="K9" s="1">
        <v>27.07</v>
      </c>
      <c r="L9" s="37" t="s">
        <v>23</v>
      </c>
      <c r="M9" s="38"/>
      <c r="N9" s="38"/>
      <c r="O9" s="38"/>
      <c r="P9" s="38"/>
      <c r="Q9" s="38"/>
      <c r="R9" s="38"/>
      <c r="S9" s="39"/>
      <c r="T9" s="37" t="s">
        <v>23</v>
      </c>
      <c r="U9" s="38"/>
      <c r="V9" s="38"/>
      <c r="W9" s="38"/>
      <c r="X9" s="39"/>
      <c r="Y9" s="1" t="s">
        <v>24</v>
      </c>
      <c r="Z9" s="1">
        <v>-12</v>
      </c>
      <c r="AA9" s="1">
        <v>-145.5</v>
      </c>
      <c r="AB9" s="1">
        <v>-12.5</v>
      </c>
      <c r="AC9" s="1" t="s">
        <v>184</v>
      </c>
      <c r="AD9" s="24">
        <v>55.6</v>
      </c>
      <c r="AE9" s="1">
        <v>26.77</v>
      </c>
      <c r="AF9" s="1">
        <v>26.77</v>
      </c>
      <c r="AG9" s="1">
        <v>27.61</v>
      </c>
      <c r="AH9" s="1" t="s">
        <v>171</v>
      </c>
      <c r="AI9" s="1">
        <v>0.78</v>
      </c>
      <c r="AJ9" s="1">
        <v>0.78</v>
      </c>
      <c r="AK9" s="1">
        <v>0.78</v>
      </c>
      <c r="AL9" s="1" t="s">
        <v>171</v>
      </c>
      <c r="AM9" s="1">
        <v>0.05</v>
      </c>
      <c r="AN9" s="1">
        <v>0.05</v>
      </c>
      <c r="AO9" s="1">
        <v>0.05</v>
      </c>
      <c r="AP9" s="10" t="s">
        <v>116</v>
      </c>
      <c r="AQ9" s="10" t="s">
        <v>117</v>
      </c>
      <c r="AR9" s="13"/>
      <c r="AS9" s="13"/>
      <c r="AT9" s="13"/>
      <c r="AU9" s="12"/>
      <c r="AV9" s="12"/>
    </row>
    <row r="10" spans="1:56" x14ac:dyDescent="0.3">
      <c r="A10" s="9" t="s">
        <v>25</v>
      </c>
      <c r="B10" s="1" t="s">
        <v>26</v>
      </c>
      <c r="C10" s="1" t="s">
        <v>55</v>
      </c>
      <c r="D10" s="1">
        <v>31.3</v>
      </c>
      <c r="E10" s="1" t="s">
        <v>26</v>
      </c>
      <c r="F10" s="1" t="s">
        <v>66</v>
      </c>
      <c r="G10" s="1">
        <v>50</v>
      </c>
      <c r="H10" s="1" t="s">
        <v>67</v>
      </c>
      <c r="I10" s="1" t="s">
        <v>27</v>
      </c>
      <c r="J10" s="1" t="s">
        <v>87</v>
      </c>
      <c r="K10" s="1">
        <v>26.32</v>
      </c>
      <c r="L10" s="1">
        <v>4.05</v>
      </c>
      <c r="M10" s="1">
        <v>0.62</v>
      </c>
      <c r="N10" s="1">
        <v>0.17</v>
      </c>
      <c r="O10" s="1">
        <f>M10+N10</f>
        <v>0.79</v>
      </c>
      <c r="P10" s="1"/>
      <c r="Q10" s="1"/>
      <c r="R10" s="1"/>
      <c r="S10" s="1"/>
      <c r="T10" s="1">
        <v>0.55000000000000004</v>
      </c>
      <c r="U10" s="1"/>
      <c r="V10" s="1"/>
      <c r="W10" s="1"/>
      <c r="X10" s="1"/>
      <c r="Y10" s="1" t="s">
        <v>7</v>
      </c>
      <c r="Z10" s="1">
        <v>19.12</v>
      </c>
      <c r="AA10" s="1">
        <v>67.099999999999994</v>
      </c>
      <c r="AB10" s="1">
        <v>19.5</v>
      </c>
      <c r="AC10" s="1" t="s">
        <v>185</v>
      </c>
      <c r="AD10" s="24">
        <v>59.56</v>
      </c>
      <c r="AE10" s="1">
        <v>26.52</v>
      </c>
      <c r="AF10" s="1">
        <v>26.4</v>
      </c>
      <c r="AG10" s="1">
        <v>25.58</v>
      </c>
      <c r="AH10" s="1" t="s">
        <v>172</v>
      </c>
      <c r="AI10" s="1">
        <v>2.9</v>
      </c>
      <c r="AJ10" s="1">
        <v>3.62</v>
      </c>
      <c r="AK10" s="1">
        <v>3.39</v>
      </c>
      <c r="AL10" s="1" t="s">
        <v>172</v>
      </c>
      <c r="AM10" s="1">
        <v>0.63</v>
      </c>
      <c r="AN10" s="1">
        <v>0.63</v>
      </c>
      <c r="AO10" s="1">
        <v>0.61</v>
      </c>
      <c r="AP10" s="13" t="s">
        <v>104</v>
      </c>
      <c r="AQ10" s="13" t="s">
        <v>105</v>
      </c>
      <c r="AR10" s="13"/>
      <c r="AS10" s="13"/>
      <c r="AT10" s="13"/>
      <c r="AU10" s="12"/>
      <c r="AV10" s="12"/>
    </row>
    <row r="11" spans="1:56" x14ac:dyDescent="0.3">
      <c r="A11" s="5" t="s">
        <v>28</v>
      </c>
      <c r="B11" s="1" t="s">
        <v>14</v>
      </c>
      <c r="C11" s="1" t="s">
        <v>55</v>
      </c>
      <c r="D11" s="1">
        <v>31.5</v>
      </c>
      <c r="E11" s="1" t="s">
        <v>14</v>
      </c>
      <c r="F11" s="1" t="s">
        <v>68</v>
      </c>
      <c r="G11" s="1">
        <v>40</v>
      </c>
      <c r="H11" s="1" t="s">
        <v>69</v>
      </c>
      <c r="I11" s="1" t="s">
        <v>24</v>
      </c>
      <c r="J11" s="1"/>
      <c r="K11" s="1" t="s">
        <v>29</v>
      </c>
      <c r="L11" s="1"/>
      <c r="M11" s="1"/>
      <c r="N11" s="1"/>
      <c r="O11" s="1"/>
      <c r="P11" s="1"/>
      <c r="Q11" s="1"/>
      <c r="R11" s="1"/>
      <c r="S11" s="1"/>
      <c r="T11" s="1" t="s">
        <v>132</v>
      </c>
      <c r="U11" s="1"/>
      <c r="V11" s="1"/>
      <c r="W11" s="1"/>
      <c r="X11" s="1"/>
      <c r="Y11" s="1"/>
      <c r="Z11" s="1">
        <v>35</v>
      </c>
      <c r="AA11" s="1">
        <v>138.30000000000001</v>
      </c>
      <c r="AB11" s="1">
        <v>33.5</v>
      </c>
      <c r="AC11" s="1">
        <v>138.5</v>
      </c>
      <c r="AD11" s="1">
        <v>167.8</v>
      </c>
      <c r="AE11" s="1">
        <v>23.37</v>
      </c>
      <c r="AF11" s="1">
        <v>21.83</v>
      </c>
      <c r="AG11" s="1">
        <v>19.7</v>
      </c>
      <c r="AH11" s="1" t="s">
        <v>173</v>
      </c>
      <c r="AI11" s="1">
        <v>2.15</v>
      </c>
      <c r="AJ11" s="1">
        <v>1.44</v>
      </c>
      <c r="AK11" s="1">
        <v>1.44</v>
      </c>
      <c r="AL11" s="1" t="s">
        <v>173</v>
      </c>
      <c r="AM11" s="1">
        <v>0.17</v>
      </c>
      <c r="AN11" s="1">
        <v>0.17</v>
      </c>
      <c r="AO11" s="1">
        <v>0.21</v>
      </c>
      <c r="AP11" s="10" t="s">
        <v>118</v>
      </c>
      <c r="AQ11" s="13" t="s">
        <v>106</v>
      </c>
      <c r="AR11" s="13"/>
      <c r="AS11" s="13"/>
      <c r="AT11" s="13" t="s">
        <v>106</v>
      </c>
      <c r="AU11" s="12"/>
      <c r="AV11" s="12"/>
    </row>
    <row r="12" spans="1:56" x14ac:dyDescent="0.3">
      <c r="A12" s="9" t="s">
        <v>30</v>
      </c>
      <c r="B12" s="1" t="s">
        <v>31</v>
      </c>
      <c r="C12" s="1" t="s">
        <v>55</v>
      </c>
      <c r="D12" s="1">
        <v>31.2</v>
      </c>
      <c r="E12" s="1" t="s">
        <v>31</v>
      </c>
      <c r="F12" s="1" t="s">
        <v>70</v>
      </c>
      <c r="G12" s="1">
        <v>175</v>
      </c>
      <c r="H12" s="1" t="s">
        <v>62</v>
      </c>
      <c r="I12" s="1" t="s">
        <v>32</v>
      </c>
      <c r="J12" s="1" t="s">
        <v>86</v>
      </c>
      <c r="K12" s="1">
        <v>17.43</v>
      </c>
      <c r="L12" s="1"/>
      <c r="M12" s="1"/>
      <c r="N12" s="1"/>
      <c r="O12" s="1">
        <v>4.99</v>
      </c>
      <c r="P12" s="1">
        <v>0.1</v>
      </c>
      <c r="Q12" s="1"/>
      <c r="R12" s="1"/>
      <c r="S12" s="1"/>
      <c r="T12" s="1">
        <v>0.4</v>
      </c>
      <c r="U12" s="16">
        <v>334.1</v>
      </c>
      <c r="V12" s="1">
        <v>4.7</v>
      </c>
      <c r="W12" s="1"/>
      <c r="X12" s="1"/>
      <c r="Y12" s="1" t="s">
        <v>19</v>
      </c>
      <c r="Z12" s="1">
        <v>22.75</v>
      </c>
      <c r="AA12" s="1">
        <v>-158</v>
      </c>
      <c r="AB12" s="1">
        <v>22.5</v>
      </c>
      <c r="AC12" s="3" t="s">
        <v>186</v>
      </c>
      <c r="AD12" s="25">
        <v>58.36</v>
      </c>
      <c r="AE12" s="25">
        <v>20.04</v>
      </c>
      <c r="AF12" s="25">
        <v>20.93</v>
      </c>
      <c r="AG12" s="25">
        <v>20.93</v>
      </c>
      <c r="AH12" s="3" t="s">
        <v>169</v>
      </c>
      <c r="AI12" s="25">
        <v>2.85</v>
      </c>
      <c r="AJ12" s="25">
        <v>0.81</v>
      </c>
      <c r="AK12" s="25">
        <v>1.04</v>
      </c>
      <c r="AL12" s="3" t="s">
        <v>169</v>
      </c>
      <c r="AM12" s="25">
        <v>0.18</v>
      </c>
      <c r="AN12" s="25">
        <v>0.13</v>
      </c>
      <c r="AO12" s="25">
        <v>0.15</v>
      </c>
      <c r="AP12" s="10" t="s">
        <v>118</v>
      </c>
      <c r="AQ12" s="13"/>
      <c r="AR12" s="13"/>
      <c r="AS12" s="13"/>
      <c r="AT12" s="15" t="s">
        <v>107</v>
      </c>
      <c r="AU12" s="12"/>
      <c r="AV12" s="12"/>
    </row>
    <row r="13" spans="1:56" x14ac:dyDescent="0.3">
      <c r="A13" s="5" t="s">
        <v>33</v>
      </c>
      <c r="B13" s="1" t="s">
        <v>34</v>
      </c>
      <c r="C13" s="1" t="s">
        <v>71</v>
      </c>
      <c r="D13" s="1">
        <v>35</v>
      </c>
      <c r="E13" s="1" t="s">
        <v>34</v>
      </c>
      <c r="F13" s="1" t="s">
        <v>72</v>
      </c>
      <c r="G13" s="1">
        <v>30</v>
      </c>
      <c r="H13" s="1" t="s">
        <v>73</v>
      </c>
      <c r="I13" s="1" t="s">
        <v>35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>
        <v>37.4</v>
      </c>
      <c r="AA13" s="1">
        <v>-40</v>
      </c>
      <c r="AB13" s="1">
        <v>37.5</v>
      </c>
      <c r="AC13" s="1">
        <v>-40.5</v>
      </c>
      <c r="AD13" s="1">
        <v>45.52</v>
      </c>
      <c r="AE13" s="1">
        <v>16.89</v>
      </c>
      <c r="AF13" s="1">
        <v>18.04</v>
      </c>
      <c r="AG13" s="1">
        <v>19.93</v>
      </c>
      <c r="AH13" s="1" t="s">
        <v>174</v>
      </c>
      <c r="AI13" s="1">
        <v>0.87</v>
      </c>
      <c r="AJ13" s="1">
        <v>0.87</v>
      </c>
      <c r="AK13" s="1">
        <v>0.87</v>
      </c>
      <c r="AL13" s="1" t="s">
        <v>174</v>
      </c>
      <c r="AM13" s="1">
        <v>0.13</v>
      </c>
      <c r="AN13" s="1">
        <v>0.13</v>
      </c>
      <c r="AO13" s="1">
        <v>0.13</v>
      </c>
      <c r="AP13" s="13" t="s">
        <v>108</v>
      </c>
      <c r="AQ13" s="10" t="s">
        <v>112</v>
      </c>
      <c r="AR13" s="13"/>
      <c r="AS13" s="13"/>
      <c r="AT13" s="13"/>
      <c r="AU13" s="12"/>
      <c r="AV13" s="12"/>
    </row>
    <row r="14" spans="1:56" ht="16.2" x14ac:dyDescent="0.3">
      <c r="A14" s="5" t="s">
        <v>36</v>
      </c>
      <c r="B14" s="1" t="s">
        <v>37</v>
      </c>
      <c r="C14" s="1" t="s">
        <v>71</v>
      </c>
      <c r="D14" s="1">
        <v>35.1</v>
      </c>
      <c r="E14" s="1" t="s">
        <v>37</v>
      </c>
      <c r="F14" s="1" t="s">
        <v>72</v>
      </c>
      <c r="G14" s="1">
        <v>10</v>
      </c>
      <c r="H14" s="1" t="s">
        <v>74</v>
      </c>
      <c r="I14" s="1" t="s">
        <v>38</v>
      </c>
      <c r="J14" s="1"/>
      <c r="L14" s="46" t="s">
        <v>126</v>
      </c>
      <c r="M14" s="47"/>
      <c r="N14" s="47"/>
      <c r="O14" s="48"/>
      <c r="P14" s="1"/>
      <c r="Q14" s="1"/>
      <c r="R14" s="1"/>
      <c r="S14" s="1"/>
      <c r="T14" s="1"/>
      <c r="U14" s="1"/>
      <c r="V14" s="1"/>
      <c r="W14" s="1"/>
      <c r="X14" s="1"/>
      <c r="Y14" s="1"/>
      <c r="Z14" s="1">
        <v>39</v>
      </c>
      <c r="AA14" s="1">
        <v>-49.3</v>
      </c>
      <c r="AB14" s="1">
        <v>39.5</v>
      </c>
      <c r="AC14" s="1">
        <v>-48.5</v>
      </c>
      <c r="AD14" s="1">
        <v>88.52</v>
      </c>
      <c r="AE14" s="1">
        <v>17.34</v>
      </c>
      <c r="AF14" s="1">
        <v>19.440000000000001</v>
      </c>
      <c r="AG14" s="1">
        <v>20.56</v>
      </c>
      <c r="AH14" s="1" t="s">
        <v>175</v>
      </c>
      <c r="AI14" s="1">
        <v>3.17</v>
      </c>
      <c r="AJ14" s="1">
        <v>3.17</v>
      </c>
      <c r="AK14" s="1">
        <v>1.59</v>
      </c>
      <c r="AL14" s="1" t="s">
        <v>175</v>
      </c>
      <c r="AM14" s="1" t="s">
        <v>167</v>
      </c>
      <c r="AN14" s="1">
        <v>0.11</v>
      </c>
      <c r="AO14" s="1">
        <v>0.11</v>
      </c>
      <c r="AP14" s="13" t="s">
        <v>108</v>
      </c>
      <c r="AQ14" s="10" t="s">
        <v>119</v>
      </c>
      <c r="AR14" s="13"/>
      <c r="AS14" s="13"/>
      <c r="AT14" s="13"/>
      <c r="AU14" s="12"/>
      <c r="AV14" s="12"/>
    </row>
    <row r="15" spans="1:56" x14ac:dyDescent="0.3">
      <c r="A15" s="9" t="s">
        <v>39</v>
      </c>
      <c r="B15" s="1" t="s">
        <v>40</v>
      </c>
      <c r="C15" s="1" t="s">
        <v>71</v>
      </c>
      <c r="D15" s="1">
        <v>35.1</v>
      </c>
      <c r="E15" s="1" t="s">
        <v>40</v>
      </c>
      <c r="F15" s="1" t="s">
        <v>61</v>
      </c>
      <c r="G15" s="1">
        <v>100</v>
      </c>
      <c r="H15" s="1" t="s">
        <v>62</v>
      </c>
      <c r="I15" s="1" t="s">
        <v>41</v>
      </c>
      <c r="J15" s="1" t="s">
        <v>90</v>
      </c>
      <c r="K15" s="1">
        <v>21.4</v>
      </c>
      <c r="L15" s="1"/>
      <c r="M15" s="1"/>
      <c r="N15" s="1">
        <v>48.3</v>
      </c>
      <c r="O15" s="1" t="s">
        <v>127</v>
      </c>
      <c r="P15" s="1">
        <v>0.52</v>
      </c>
      <c r="Q15" s="1">
        <v>6.55</v>
      </c>
      <c r="R15" s="1">
        <v>5.95</v>
      </c>
      <c r="S15" s="1">
        <v>5.59</v>
      </c>
      <c r="T15" s="1">
        <v>0.08</v>
      </c>
      <c r="U15" s="1">
        <v>65.400000000000006</v>
      </c>
      <c r="V15" s="1">
        <v>15.75</v>
      </c>
      <c r="W15" s="1">
        <v>0.25</v>
      </c>
      <c r="X15" s="1">
        <v>0.33</v>
      </c>
      <c r="Y15" s="1" t="s">
        <v>19</v>
      </c>
      <c r="Z15" s="1">
        <v>22.75</v>
      </c>
      <c r="AA15" s="1">
        <v>-158</v>
      </c>
      <c r="AB15" s="1">
        <v>22.5</v>
      </c>
      <c r="AC15" s="1">
        <v>-158.5</v>
      </c>
      <c r="AD15" s="25">
        <v>58.36</v>
      </c>
      <c r="AE15" s="1">
        <v>21.85</v>
      </c>
      <c r="AF15" s="1">
        <v>21.92</v>
      </c>
      <c r="AG15" s="1">
        <v>22.61</v>
      </c>
      <c r="AH15" s="1" t="s">
        <v>169</v>
      </c>
      <c r="AI15" s="1">
        <v>0.08</v>
      </c>
      <c r="AJ15" s="1">
        <v>0.09</v>
      </c>
      <c r="AK15" s="1">
        <v>0.08</v>
      </c>
      <c r="AL15" s="1" t="s">
        <v>169</v>
      </c>
      <c r="AM15" s="1">
        <v>0.08</v>
      </c>
      <c r="AN15" s="1">
        <v>0.06</v>
      </c>
      <c r="AO15" s="1">
        <v>7.0000000000000007E-2</v>
      </c>
      <c r="AP15" s="10" t="s">
        <v>118</v>
      </c>
      <c r="AQ15" s="10" t="s">
        <v>120</v>
      </c>
      <c r="AR15" s="10" t="s">
        <v>121</v>
      </c>
      <c r="AS15" s="13"/>
      <c r="AT15" s="13"/>
      <c r="AU15" s="12"/>
      <c r="AV15" s="12"/>
    </row>
    <row r="16" spans="1:56" x14ac:dyDescent="0.3">
      <c r="A16" s="9" t="s">
        <v>42</v>
      </c>
      <c r="B16" s="1" t="s">
        <v>43</v>
      </c>
      <c r="C16" s="1" t="s">
        <v>75</v>
      </c>
      <c r="D16" s="1">
        <v>50.26</v>
      </c>
      <c r="E16" s="1" t="s">
        <v>43</v>
      </c>
      <c r="F16" s="1" t="s">
        <v>61</v>
      </c>
      <c r="G16" s="1">
        <v>150</v>
      </c>
      <c r="H16" s="1" t="s">
        <v>62</v>
      </c>
      <c r="I16" s="1" t="s">
        <v>18</v>
      </c>
      <c r="J16" s="14" t="s">
        <v>84</v>
      </c>
      <c r="K16" s="1">
        <v>21.23</v>
      </c>
      <c r="L16" s="1"/>
      <c r="M16" s="1"/>
      <c r="N16" s="1"/>
      <c r="O16" s="1">
        <v>0.77</v>
      </c>
      <c r="P16" s="1">
        <v>0.23</v>
      </c>
      <c r="Q16" s="1"/>
      <c r="R16" s="1"/>
      <c r="S16" s="1"/>
      <c r="T16" s="1">
        <v>0.12</v>
      </c>
      <c r="U16" s="1">
        <v>0.12</v>
      </c>
      <c r="V16" s="1">
        <v>7.73</v>
      </c>
      <c r="W16" s="1"/>
      <c r="X16" s="1"/>
      <c r="Y16" s="1" t="s">
        <v>19</v>
      </c>
      <c r="Z16" s="1">
        <v>22.75</v>
      </c>
      <c r="AA16" s="1">
        <v>-158</v>
      </c>
      <c r="AB16" s="1">
        <v>22.5</v>
      </c>
      <c r="AC16" s="3" t="s">
        <v>186</v>
      </c>
      <c r="AD16" s="25">
        <v>58.36</v>
      </c>
      <c r="AE16" s="25">
        <v>20.34</v>
      </c>
      <c r="AF16" s="25">
        <v>20.99</v>
      </c>
      <c r="AG16" s="25">
        <v>20.93</v>
      </c>
      <c r="AH16" s="3" t="s">
        <v>169</v>
      </c>
      <c r="AI16" s="25">
        <v>0.93</v>
      </c>
      <c r="AJ16" s="25">
        <v>0.81</v>
      </c>
      <c r="AK16" s="25">
        <v>1.04</v>
      </c>
      <c r="AL16" s="3" t="s">
        <v>169</v>
      </c>
      <c r="AM16" s="25">
        <v>0.18</v>
      </c>
      <c r="AN16" s="25">
        <v>0.13</v>
      </c>
      <c r="AO16" s="25">
        <v>0.15</v>
      </c>
      <c r="AP16" s="10" t="s">
        <v>122</v>
      </c>
      <c r="AQ16" s="13"/>
      <c r="AR16" s="13"/>
      <c r="AS16" s="13"/>
      <c r="AT16" s="15" t="s">
        <v>103</v>
      </c>
      <c r="AU16" s="12"/>
      <c r="AV16" s="12"/>
    </row>
    <row r="17" spans="1:50" x14ac:dyDescent="0.3">
      <c r="A17" s="5" t="s">
        <v>81</v>
      </c>
      <c r="B17" s="1" t="s">
        <v>44</v>
      </c>
      <c r="C17" s="1" t="s">
        <v>75</v>
      </c>
      <c r="D17" s="1">
        <v>50.7</v>
      </c>
      <c r="E17" s="1" t="s">
        <v>56</v>
      </c>
      <c r="F17" s="1" t="s">
        <v>57</v>
      </c>
      <c r="G17" s="1">
        <v>135</v>
      </c>
      <c r="H17" s="1" t="s">
        <v>58</v>
      </c>
      <c r="I17" s="1" t="s">
        <v>12</v>
      </c>
      <c r="J17" s="1"/>
      <c r="K17" s="1" t="s">
        <v>77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>
        <v>37.5</v>
      </c>
      <c r="AA17" s="1">
        <v>-68.2</v>
      </c>
      <c r="AB17" s="1">
        <v>37.5</v>
      </c>
      <c r="AC17" s="3">
        <v>-69.5</v>
      </c>
      <c r="AD17" s="3">
        <v>114.7</v>
      </c>
      <c r="AE17" s="3">
        <v>19.54</v>
      </c>
      <c r="AF17" s="3">
        <v>20.64</v>
      </c>
      <c r="AG17" s="3">
        <v>20.3</v>
      </c>
      <c r="AH17" s="3" t="s">
        <v>188</v>
      </c>
      <c r="AI17" s="3">
        <v>1.47</v>
      </c>
      <c r="AJ17" s="3" t="s">
        <v>167</v>
      </c>
      <c r="AK17" s="3">
        <v>0.97</v>
      </c>
      <c r="AL17" s="3" t="s">
        <v>188</v>
      </c>
      <c r="AM17" s="3">
        <v>0.36</v>
      </c>
      <c r="AN17" s="3">
        <v>0.02</v>
      </c>
      <c r="AO17" s="3">
        <v>0.04</v>
      </c>
      <c r="AP17" s="13" t="s">
        <v>108</v>
      </c>
      <c r="AQ17" s="10" t="s">
        <v>114</v>
      </c>
      <c r="AR17" s="13"/>
      <c r="AS17" s="13"/>
      <c r="AT17" s="10" t="s">
        <v>114</v>
      </c>
      <c r="AU17" s="12"/>
      <c r="AV17" s="12"/>
    </row>
    <row r="19" spans="1:50" x14ac:dyDescent="0.3">
      <c r="T19" s="17"/>
      <c r="U19" s="17"/>
      <c r="Y19" s="17"/>
      <c r="Z19" s="4" t="s">
        <v>193</v>
      </c>
      <c r="AA19" s="26" t="s">
        <v>192</v>
      </c>
      <c r="AB19" s="17"/>
      <c r="AC19" s="17"/>
      <c r="AD19" s="17"/>
      <c r="AE19" s="12"/>
      <c r="AF19" s="12"/>
      <c r="AG19" s="12"/>
      <c r="AM19" s="4" t="s">
        <v>196</v>
      </c>
      <c r="AN19" s="4" t="s">
        <v>199</v>
      </c>
      <c r="AO19" s="4" t="s">
        <v>198</v>
      </c>
    </row>
    <row r="20" spans="1:50" x14ac:dyDescent="0.3">
      <c r="B20" s="18" t="s">
        <v>92</v>
      </c>
      <c r="C20" s="18"/>
      <c r="D20" s="18"/>
      <c r="R20" s="19"/>
      <c r="T20" s="17"/>
      <c r="U20" s="17"/>
      <c r="Y20" s="17"/>
      <c r="Z20" s="17"/>
      <c r="AA20" s="17"/>
      <c r="AB20" s="17"/>
      <c r="AC20" s="17"/>
      <c r="AD20" s="17"/>
      <c r="AM20" s="9" t="s">
        <v>76</v>
      </c>
      <c r="AN20" s="1">
        <v>1</v>
      </c>
      <c r="AO20" s="24">
        <v>2.36</v>
      </c>
      <c r="AR20" s="4" t="s">
        <v>143</v>
      </c>
      <c r="AS20" s="4" t="s">
        <v>213</v>
      </c>
      <c r="AT20" s="4" t="s">
        <v>214</v>
      </c>
    </row>
    <row r="21" spans="1:50" x14ac:dyDescent="0.3">
      <c r="B21" s="36" t="s">
        <v>91</v>
      </c>
      <c r="C21" s="36"/>
      <c r="D21" s="36"/>
      <c r="E21" s="36"/>
      <c r="R21" s="19"/>
      <c r="T21" s="17"/>
      <c r="U21" s="17"/>
      <c r="Y21" s="17"/>
      <c r="Z21" s="17"/>
      <c r="AA21" s="17"/>
      <c r="AB21" s="17"/>
      <c r="AC21" s="17"/>
      <c r="AD21" s="17"/>
      <c r="AM21" s="9" t="s">
        <v>13</v>
      </c>
      <c r="AN21" s="1">
        <v>6.28</v>
      </c>
      <c r="AO21" s="24">
        <v>5.73</v>
      </c>
      <c r="AR21" s="9" t="s">
        <v>76</v>
      </c>
      <c r="AS21" s="1">
        <v>13.5</v>
      </c>
      <c r="AT21" s="24">
        <v>13.34</v>
      </c>
      <c r="AX21" s="19"/>
    </row>
    <row r="22" spans="1:50" x14ac:dyDescent="0.3">
      <c r="A22" s="19"/>
      <c r="B22" s="49" t="s">
        <v>139</v>
      </c>
      <c r="C22" s="49"/>
      <c r="D22" s="49"/>
      <c r="E22" s="49"/>
      <c r="R22" s="19"/>
      <c r="T22" s="17"/>
      <c r="U22" s="17"/>
      <c r="Y22" s="17"/>
      <c r="Z22" s="17"/>
      <c r="AA22" s="17"/>
      <c r="AB22" s="17"/>
      <c r="AC22" s="17"/>
      <c r="AD22" s="17"/>
      <c r="AM22" s="9" t="s">
        <v>25</v>
      </c>
      <c r="AN22" s="1">
        <v>0.62</v>
      </c>
      <c r="AO22" s="1">
        <v>2.9</v>
      </c>
      <c r="AR22" s="5" t="s">
        <v>79</v>
      </c>
      <c r="AS22" s="1">
        <v>20.2</v>
      </c>
      <c r="AT22" s="25">
        <v>19.54</v>
      </c>
      <c r="AX22" s="19"/>
    </row>
    <row r="23" spans="1:50" x14ac:dyDescent="0.3">
      <c r="A23" s="19"/>
      <c r="B23" s="43" t="s">
        <v>176</v>
      </c>
      <c r="C23" s="43"/>
      <c r="D23" s="43"/>
      <c r="E23" s="43"/>
      <c r="F23" s="43"/>
      <c r="G23" s="43"/>
      <c r="R23" s="19"/>
      <c r="T23" s="17"/>
      <c r="U23" s="17"/>
      <c r="Y23" s="17"/>
      <c r="Z23" s="17"/>
      <c r="AA23" s="17"/>
      <c r="AB23" s="17"/>
      <c r="AC23" s="17"/>
      <c r="AD23" s="17"/>
      <c r="AM23"/>
      <c r="AN23"/>
      <c r="AO23"/>
      <c r="AR23" s="9" t="s">
        <v>13</v>
      </c>
      <c r="AS23" s="1">
        <v>25.05</v>
      </c>
      <c r="AT23" s="24">
        <v>25.61</v>
      </c>
      <c r="AX23" s="19"/>
    </row>
    <row r="24" spans="1:50" x14ac:dyDescent="0.3">
      <c r="A24" s="19"/>
      <c r="R24" s="19"/>
      <c r="T24" s="17"/>
      <c r="U24" s="17"/>
      <c r="Y24" s="17"/>
      <c r="Z24" s="17"/>
      <c r="AA24" s="17"/>
      <c r="AB24" s="17"/>
      <c r="AC24" s="17"/>
      <c r="AD24" s="17"/>
      <c r="AM24"/>
      <c r="AN24"/>
      <c r="AO24"/>
      <c r="AR24" s="9" t="s">
        <v>16</v>
      </c>
      <c r="AS24" s="1">
        <v>21.23</v>
      </c>
      <c r="AT24" s="25">
        <v>20.34</v>
      </c>
      <c r="AX24" s="19"/>
    </row>
    <row r="25" spans="1:50" x14ac:dyDescent="0.3">
      <c r="A25" s="19"/>
      <c r="R25" s="19"/>
      <c r="T25" s="17"/>
      <c r="U25" s="17"/>
      <c r="Y25" s="17"/>
      <c r="Z25" s="17"/>
      <c r="AA25" s="17"/>
      <c r="AB25" s="17"/>
      <c r="AC25" s="17"/>
      <c r="AD25" s="17"/>
      <c r="AR25" s="5" t="s">
        <v>80</v>
      </c>
      <c r="AS25" s="1">
        <v>21</v>
      </c>
      <c r="AT25" s="1">
        <v>20.05</v>
      </c>
      <c r="AX25" s="19"/>
    </row>
    <row r="26" spans="1:50" x14ac:dyDescent="0.3">
      <c r="A26" s="19"/>
      <c r="R26" s="19"/>
      <c r="T26" s="17"/>
      <c r="U26" s="17"/>
      <c r="Y26" s="17"/>
      <c r="Z26" s="17"/>
      <c r="AA26" s="17"/>
      <c r="AB26" s="17"/>
      <c r="AC26" s="17"/>
      <c r="AD26" s="17"/>
      <c r="AR26" s="9" t="s">
        <v>21</v>
      </c>
      <c r="AS26" s="1">
        <v>27.07</v>
      </c>
      <c r="AT26" s="1">
        <v>26.77</v>
      </c>
      <c r="AX26" s="19"/>
    </row>
    <row r="27" spans="1:50" x14ac:dyDescent="0.3">
      <c r="A27" s="19"/>
      <c r="T27" s="17"/>
      <c r="U27" s="17"/>
      <c r="Y27" s="17"/>
      <c r="Z27" s="17"/>
      <c r="AA27" s="17"/>
      <c r="AB27" s="17"/>
      <c r="AC27" s="17"/>
      <c r="AD27" s="17"/>
      <c r="AR27" s="9" t="s">
        <v>25</v>
      </c>
      <c r="AS27" s="1">
        <v>26.32</v>
      </c>
      <c r="AT27" s="1">
        <v>26.52</v>
      </c>
      <c r="AX27" s="19"/>
    </row>
    <row r="28" spans="1:50" x14ac:dyDescent="0.3">
      <c r="A28" s="19"/>
      <c r="T28" s="17"/>
      <c r="U28" s="17"/>
      <c r="Y28" s="17"/>
      <c r="Z28" s="17"/>
      <c r="AA28" s="17"/>
      <c r="AB28" s="17"/>
      <c r="AC28" s="17"/>
      <c r="AD28" s="17"/>
      <c r="AM28" s="4" t="s">
        <v>197</v>
      </c>
      <c r="AN28" s="4" t="s">
        <v>199</v>
      </c>
      <c r="AO28" s="4" t="s">
        <v>198</v>
      </c>
      <c r="AR28" s="9" t="s">
        <v>30</v>
      </c>
      <c r="AS28" s="1">
        <v>17.43</v>
      </c>
      <c r="AT28" s="25">
        <v>20.04</v>
      </c>
      <c r="AX28" s="19"/>
    </row>
    <row r="29" spans="1:50" ht="15" thickBot="1" x14ac:dyDescent="0.35">
      <c r="A29" s="19"/>
      <c r="T29" s="17"/>
      <c r="U29" s="17"/>
      <c r="Y29" s="17"/>
      <c r="Z29" s="17"/>
      <c r="AA29" s="17"/>
      <c r="AB29" s="17"/>
      <c r="AC29" s="17"/>
      <c r="AD29" s="17"/>
      <c r="AM29" s="9" t="s">
        <v>76</v>
      </c>
      <c r="AN29" s="1">
        <v>0.35</v>
      </c>
      <c r="AO29" s="24">
        <v>0.11</v>
      </c>
      <c r="AR29" s="9" t="s">
        <v>39</v>
      </c>
      <c r="AS29" s="1">
        <v>21.4</v>
      </c>
      <c r="AT29" s="1">
        <v>21.85</v>
      </c>
      <c r="AX29" s="19"/>
    </row>
    <row r="30" spans="1:50" ht="15" thickBot="1" x14ac:dyDescent="0.35">
      <c r="A30" s="19"/>
      <c r="F30" s="20" t="s">
        <v>140</v>
      </c>
      <c r="G30" s="21" t="s">
        <v>141</v>
      </c>
      <c r="T30" s="17"/>
      <c r="U30" s="17"/>
      <c r="Y30" s="17"/>
      <c r="Z30" s="17"/>
      <c r="AA30" s="17"/>
      <c r="AB30" s="17"/>
      <c r="AC30" s="17"/>
      <c r="AD30" s="17"/>
      <c r="AM30" s="9" t="s">
        <v>13</v>
      </c>
      <c r="AN30" s="1">
        <v>0.82</v>
      </c>
      <c r="AO30" s="24">
        <v>0.76</v>
      </c>
      <c r="AR30" s="9" t="s">
        <v>42</v>
      </c>
      <c r="AS30" s="1">
        <v>21.23</v>
      </c>
      <c r="AT30" s="25">
        <v>20.34</v>
      </c>
      <c r="AX30" s="19"/>
    </row>
    <row r="31" spans="1:50" ht="15" thickBot="1" x14ac:dyDescent="0.35">
      <c r="A31" s="19"/>
      <c r="F31" s="22" t="s">
        <v>142</v>
      </c>
      <c r="G31" s="23" t="s">
        <v>143</v>
      </c>
      <c r="T31" s="17"/>
      <c r="U31" s="17"/>
      <c r="Y31" s="17"/>
      <c r="Z31" s="17"/>
      <c r="AA31" s="17"/>
      <c r="AB31" s="17"/>
      <c r="AC31" s="17"/>
      <c r="AD31" s="17"/>
      <c r="AM31" s="9" t="s">
        <v>16</v>
      </c>
      <c r="AN31" s="1">
        <v>0.12</v>
      </c>
      <c r="AO31" s="25">
        <v>0.13</v>
      </c>
      <c r="AR31" s="5" t="s">
        <v>81</v>
      </c>
      <c r="AS31" s="1">
        <v>20.2</v>
      </c>
      <c r="AT31" s="3">
        <v>19.54</v>
      </c>
      <c r="AX31" s="19"/>
    </row>
    <row r="32" spans="1:50" ht="15" thickBot="1" x14ac:dyDescent="0.35">
      <c r="A32" s="19"/>
      <c r="F32" s="22" t="s">
        <v>144</v>
      </c>
      <c r="G32" s="23" t="s">
        <v>145</v>
      </c>
      <c r="R32" s="19"/>
      <c r="T32" s="17"/>
      <c r="U32" s="17"/>
      <c r="Y32" s="17"/>
      <c r="Z32" s="17"/>
      <c r="AA32" s="17"/>
      <c r="AB32" s="17"/>
      <c r="AC32" s="17"/>
      <c r="AD32" s="17"/>
      <c r="AM32" s="9" t="s">
        <v>25</v>
      </c>
      <c r="AN32" s="1">
        <v>0.55000000000000004</v>
      </c>
      <c r="AO32" s="1">
        <v>0.63</v>
      </c>
    </row>
    <row r="33" spans="1:41" ht="15" thickBot="1" x14ac:dyDescent="0.35">
      <c r="A33" s="19"/>
      <c r="F33" s="22" t="s">
        <v>146</v>
      </c>
      <c r="G33" s="23" t="s">
        <v>147</v>
      </c>
      <c r="R33" s="19"/>
      <c r="T33" s="17"/>
      <c r="U33" s="17"/>
      <c r="Y33" s="17"/>
      <c r="Z33" s="17"/>
      <c r="AA33" s="17"/>
      <c r="AB33" s="17"/>
      <c r="AC33" s="17"/>
      <c r="AD33" s="17"/>
      <c r="AM33" s="9" t="s">
        <v>30</v>
      </c>
      <c r="AN33" s="1">
        <v>0.4</v>
      </c>
      <c r="AO33" s="25">
        <v>0.18</v>
      </c>
    </row>
    <row r="34" spans="1:41" ht="15" thickBot="1" x14ac:dyDescent="0.35">
      <c r="A34" s="19"/>
      <c r="F34" s="22" t="s">
        <v>148</v>
      </c>
      <c r="G34" s="23" t="s">
        <v>149</v>
      </c>
      <c r="R34" s="19"/>
      <c r="S34" s="19"/>
      <c r="Y34" s="17"/>
      <c r="Z34" s="17"/>
      <c r="AA34" s="17"/>
      <c r="AB34" s="17"/>
      <c r="AC34" s="17"/>
      <c r="AD34" s="17"/>
      <c r="AM34" s="9" t="s">
        <v>39</v>
      </c>
      <c r="AN34" s="1">
        <v>0.08</v>
      </c>
      <c r="AO34" s="1">
        <v>0.08</v>
      </c>
    </row>
    <row r="35" spans="1:41" ht="15" thickBot="1" x14ac:dyDescent="0.35">
      <c r="A35" s="19"/>
      <c r="F35" s="22" t="s">
        <v>150</v>
      </c>
      <c r="G35" s="23" t="s">
        <v>133</v>
      </c>
      <c r="Y35" s="17"/>
      <c r="Z35" s="17"/>
      <c r="AA35" s="17"/>
      <c r="AB35" s="17"/>
      <c r="AC35" s="17"/>
      <c r="AD35" s="17"/>
      <c r="AM35" s="9" t="s">
        <v>42</v>
      </c>
      <c r="AN35" s="1">
        <v>0.12</v>
      </c>
      <c r="AO35" s="25">
        <v>0.18</v>
      </c>
    </row>
    <row r="36" spans="1:41" ht="15" thickBot="1" x14ac:dyDescent="0.35">
      <c r="A36" s="19"/>
      <c r="F36" s="22" t="s">
        <v>151</v>
      </c>
      <c r="G36" s="23" t="s">
        <v>136</v>
      </c>
      <c r="Y36" s="17"/>
      <c r="Z36" s="17"/>
      <c r="AA36" s="17"/>
      <c r="AB36" s="17"/>
      <c r="AC36" s="17"/>
      <c r="AD36" s="17"/>
    </row>
    <row r="37" spans="1:41" ht="15" thickBot="1" x14ac:dyDescent="0.35">
      <c r="A37" s="19"/>
      <c r="F37" s="22" t="s">
        <v>152</v>
      </c>
      <c r="G37" s="23" t="s">
        <v>134</v>
      </c>
    </row>
    <row r="38" spans="1:41" ht="15" thickBot="1" x14ac:dyDescent="0.35">
      <c r="F38" s="22" t="s">
        <v>153</v>
      </c>
      <c r="G38" s="23" t="s">
        <v>135</v>
      </c>
    </row>
    <row r="39" spans="1:41" ht="15" thickBot="1" x14ac:dyDescent="0.35">
      <c r="F39" s="22" t="s">
        <v>154</v>
      </c>
      <c r="G39" s="23" t="s">
        <v>137</v>
      </c>
    </row>
    <row r="40" spans="1:41" ht="15" thickBot="1" x14ac:dyDescent="0.35">
      <c r="F40" s="22" t="s">
        <v>155</v>
      </c>
      <c r="G40" s="23" t="s">
        <v>130</v>
      </c>
    </row>
    <row r="41" spans="1:41" ht="15" thickBot="1" x14ac:dyDescent="0.35">
      <c r="F41" s="22" t="s">
        <v>156</v>
      </c>
      <c r="G41" s="23" t="s">
        <v>138</v>
      </c>
    </row>
    <row r="42" spans="1:41" ht="15" thickBot="1" x14ac:dyDescent="0.35">
      <c r="F42" s="22" t="s">
        <v>157</v>
      </c>
      <c r="G42" s="23" t="s">
        <v>131</v>
      </c>
    </row>
    <row r="43" spans="1:41" ht="15" thickBot="1" x14ac:dyDescent="0.35">
      <c r="F43" s="22" t="s">
        <v>158</v>
      </c>
      <c r="G43" s="23" t="s">
        <v>159</v>
      </c>
    </row>
  </sheetData>
  <mergeCells count="26">
    <mergeCell ref="B23:G23"/>
    <mergeCell ref="H1:H2"/>
    <mergeCell ref="Z1:AA1"/>
    <mergeCell ref="AE1:AG1"/>
    <mergeCell ref="AB1:AC1"/>
    <mergeCell ref="L14:O14"/>
    <mergeCell ref="B22:E22"/>
    <mergeCell ref="Y1:Y2"/>
    <mergeCell ref="T9:X9"/>
    <mergeCell ref="D1:D2"/>
    <mergeCell ref="AP1:AT1"/>
    <mergeCell ref="B21:E21"/>
    <mergeCell ref="A1:A2"/>
    <mergeCell ref="J1:J2"/>
    <mergeCell ref="K1:K2"/>
    <mergeCell ref="I1:I2"/>
    <mergeCell ref="B1:B2"/>
    <mergeCell ref="C1:C2"/>
    <mergeCell ref="E1:E2"/>
    <mergeCell ref="F1:F2"/>
    <mergeCell ref="G1:G2"/>
    <mergeCell ref="AH1:AK1"/>
    <mergeCell ref="AL1:AO1"/>
    <mergeCell ref="L1:S1"/>
    <mergeCell ref="L9:S9"/>
    <mergeCell ref="T1:X1"/>
  </mergeCells>
  <hyperlinks>
    <hyperlink ref="I4" r:id="rId1" location="con1" display="https://journals.asm.org/doi/full/10.1128/aem.68.3.1180-1191.2002 - con1" xr:uid="{F3B6FAC7-9395-420A-A8C1-A527BACE3B66}"/>
    <hyperlink ref="AT7" r:id="rId2" xr:uid="{654571A9-A28D-4B62-96C3-6D2003842A79}"/>
    <hyperlink ref="AT12" r:id="rId3" xr:uid="{6C36EDD1-1B2A-45DA-AE9D-C15C7E036159}"/>
    <hyperlink ref="AT16" r:id="rId4" xr:uid="{9F0E2062-E7BF-4097-8A88-F0FF9C864C15}"/>
    <hyperlink ref="AA19" r:id="rId5" xr:uid="{36551314-06B9-4498-BFEE-FEF6E018475A}"/>
  </hyperlinks>
  <pageMargins left="0.7" right="0.7" top="0.75" bottom="0.75" header="0.3" footer="0.3"/>
  <pageSetup paperSize="9"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85085-3333-4196-9422-AE737B387AD4}">
  <dimension ref="A1:Q45"/>
  <sheetViews>
    <sheetView workbookViewId="0">
      <selection activeCell="D1" sqref="D1"/>
    </sheetView>
  </sheetViews>
  <sheetFormatPr defaultRowHeight="14.4" x14ac:dyDescent="0.3"/>
  <cols>
    <col min="1" max="1" width="30.77734375" bestFit="1" customWidth="1"/>
    <col min="2" max="2" width="20.77734375" bestFit="1" customWidth="1"/>
    <col min="3" max="3" width="21.77734375" bestFit="1" customWidth="1"/>
    <col min="4" max="4" width="24.44140625" bestFit="1" customWidth="1"/>
    <col min="5" max="5" width="30.77734375" bestFit="1" customWidth="1"/>
  </cols>
  <sheetData>
    <row r="1" spans="1:9" x14ac:dyDescent="0.3">
      <c r="A1" s="27" t="s">
        <v>0</v>
      </c>
      <c r="B1" s="27" t="s">
        <v>201</v>
      </c>
      <c r="C1" s="27" t="s">
        <v>202</v>
      </c>
      <c r="D1" s="27" t="s">
        <v>203</v>
      </c>
      <c r="E1" s="27" t="s">
        <v>204</v>
      </c>
    </row>
    <row r="2" spans="1:9" x14ac:dyDescent="0.3">
      <c r="A2" s="27" t="s">
        <v>76</v>
      </c>
      <c r="B2" s="28">
        <v>13.34</v>
      </c>
      <c r="C2" s="28">
        <v>2.36</v>
      </c>
      <c r="D2" s="28">
        <v>0.11</v>
      </c>
      <c r="E2" s="28">
        <v>35</v>
      </c>
    </row>
    <row r="3" spans="1:9" x14ac:dyDescent="0.3">
      <c r="A3" s="27" t="s">
        <v>36</v>
      </c>
      <c r="B3" s="28">
        <v>17.34</v>
      </c>
      <c r="C3" s="28">
        <v>3.17</v>
      </c>
      <c r="D3" s="28">
        <v>0.11</v>
      </c>
      <c r="E3" s="28">
        <v>29</v>
      </c>
    </row>
    <row r="4" spans="1:9" x14ac:dyDescent="0.3">
      <c r="A4" s="27" t="s">
        <v>8</v>
      </c>
      <c r="B4" s="28">
        <v>26.81</v>
      </c>
      <c r="C4" s="28">
        <v>2.84</v>
      </c>
      <c r="D4" s="28">
        <v>0.4</v>
      </c>
      <c r="E4" s="28">
        <v>15</v>
      </c>
    </row>
    <row r="5" spans="1:9" x14ac:dyDescent="0.3">
      <c r="A5" s="27" t="s">
        <v>21</v>
      </c>
      <c r="B5" s="28">
        <v>26.77</v>
      </c>
      <c r="C5" s="28">
        <v>0.78</v>
      </c>
      <c r="D5" s="28">
        <v>0.05</v>
      </c>
      <c r="E5" s="28">
        <v>18</v>
      </c>
    </row>
    <row r="6" spans="1:9" x14ac:dyDescent="0.3">
      <c r="A6" s="27" t="s">
        <v>33</v>
      </c>
      <c r="B6" s="28">
        <v>16.89</v>
      </c>
      <c r="C6" s="28">
        <v>0.87</v>
      </c>
      <c r="D6" s="28">
        <v>0.13</v>
      </c>
      <c r="E6" s="28">
        <v>29</v>
      </c>
    </row>
    <row r="7" spans="1:9" x14ac:dyDescent="0.3">
      <c r="A7" s="27" t="s">
        <v>79</v>
      </c>
      <c r="B7" s="28">
        <v>19.54</v>
      </c>
      <c r="C7" s="28">
        <v>1.47</v>
      </c>
      <c r="D7" s="28">
        <v>0.36</v>
      </c>
      <c r="E7" s="28">
        <v>28</v>
      </c>
    </row>
    <row r="8" spans="1:9" x14ac:dyDescent="0.3">
      <c r="A8" s="29" t="s">
        <v>81</v>
      </c>
      <c r="B8" s="30">
        <v>20.34</v>
      </c>
      <c r="C8" s="30">
        <v>0.93</v>
      </c>
      <c r="D8" s="30">
        <v>0.18</v>
      </c>
      <c r="E8" s="30">
        <v>23</v>
      </c>
      <c r="F8" s="31"/>
    </row>
    <row r="9" spans="1:9" x14ac:dyDescent="0.3">
      <c r="A9" s="27" t="s">
        <v>42</v>
      </c>
      <c r="B9" s="28">
        <v>19.54</v>
      </c>
      <c r="C9" s="28">
        <v>1.47</v>
      </c>
      <c r="D9" s="28">
        <v>0.36</v>
      </c>
      <c r="E9" s="28">
        <v>12</v>
      </c>
    </row>
    <row r="10" spans="1:9" x14ac:dyDescent="0.3">
      <c r="A10" s="29" t="s">
        <v>30</v>
      </c>
      <c r="B10" s="30">
        <v>20.04</v>
      </c>
      <c r="C10" s="30">
        <v>2.85</v>
      </c>
      <c r="D10" s="30">
        <v>0.18</v>
      </c>
      <c r="E10" s="30">
        <v>23</v>
      </c>
    </row>
    <row r="11" spans="1:9" x14ac:dyDescent="0.3">
      <c r="A11" s="27" t="s">
        <v>13</v>
      </c>
      <c r="B11" s="28">
        <v>25.61</v>
      </c>
      <c r="C11" s="28">
        <v>5.73</v>
      </c>
      <c r="D11" s="28">
        <v>0.76</v>
      </c>
      <c r="E11" s="28">
        <v>17</v>
      </c>
    </row>
    <row r="12" spans="1:9" x14ac:dyDescent="0.3">
      <c r="A12" s="27" t="s">
        <v>25</v>
      </c>
      <c r="B12" s="28">
        <v>26.52</v>
      </c>
      <c r="C12" s="28">
        <v>2.9</v>
      </c>
      <c r="D12" s="28">
        <v>0.63</v>
      </c>
      <c r="E12" s="28">
        <v>17</v>
      </c>
    </row>
    <row r="13" spans="1:9" x14ac:dyDescent="0.3">
      <c r="A13" s="27" t="s">
        <v>28</v>
      </c>
      <c r="B13" s="28">
        <v>23.37</v>
      </c>
      <c r="C13" s="28">
        <v>2.15</v>
      </c>
      <c r="D13" s="28">
        <v>0.17</v>
      </c>
      <c r="E13" s="28">
        <v>25</v>
      </c>
    </row>
    <row r="14" spans="1:9" x14ac:dyDescent="0.3">
      <c r="A14" s="27" t="s">
        <v>80</v>
      </c>
      <c r="B14" s="28">
        <v>20.05</v>
      </c>
      <c r="C14" s="28">
        <v>0.36</v>
      </c>
      <c r="D14" s="28">
        <v>0.03</v>
      </c>
      <c r="E14" s="28">
        <v>38</v>
      </c>
    </row>
    <row r="15" spans="1:9" x14ac:dyDescent="0.3">
      <c r="A15" s="27" t="s">
        <v>16</v>
      </c>
      <c r="B15" s="28">
        <v>20.34</v>
      </c>
      <c r="C15" s="28">
        <v>0.93</v>
      </c>
      <c r="D15" s="28">
        <v>0.13</v>
      </c>
      <c r="E15" s="28">
        <v>0</v>
      </c>
      <c r="H15" t="s">
        <v>205</v>
      </c>
      <c r="I15" t="s">
        <v>206</v>
      </c>
    </row>
    <row r="16" spans="1:9" x14ac:dyDescent="0.3">
      <c r="A16" s="27" t="s">
        <v>39</v>
      </c>
      <c r="B16" s="28">
        <v>21.85</v>
      </c>
      <c r="C16" s="28">
        <v>0.08</v>
      </c>
      <c r="D16" s="28">
        <v>0.08</v>
      </c>
      <c r="E16" s="28">
        <v>20</v>
      </c>
      <c r="G16" t="s">
        <v>208</v>
      </c>
      <c r="H16">
        <v>16.75</v>
      </c>
      <c r="I16">
        <v>29</v>
      </c>
    </row>
    <row r="17" spans="1:17" x14ac:dyDescent="0.3">
      <c r="G17" t="s">
        <v>209</v>
      </c>
      <c r="H17">
        <v>0.27</v>
      </c>
      <c r="I17">
        <v>0.16200000000000001</v>
      </c>
    </row>
    <row r="20" spans="1:17" x14ac:dyDescent="0.3">
      <c r="B20" t="s">
        <v>50</v>
      </c>
      <c r="C20" t="s">
        <v>205</v>
      </c>
      <c r="D20" t="s">
        <v>205</v>
      </c>
      <c r="E20" t="s">
        <v>205</v>
      </c>
      <c r="F20" t="s">
        <v>205</v>
      </c>
      <c r="G20" t="s">
        <v>205</v>
      </c>
      <c r="H20" t="s">
        <v>205</v>
      </c>
      <c r="I20" t="s">
        <v>205</v>
      </c>
      <c r="J20" t="s">
        <v>205</v>
      </c>
      <c r="K20" t="s">
        <v>206</v>
      </c>
      <c r="L20" t="s">
        <v>206</v>
      </c>
      <c r="M20" t="s">
        <v>206</v>
      </c>
      <c r="N20" t="s">
        <v>206</v>
      </c>
      <c r="O20" t="s">
        <v>206</v>
      </c>
      <c r="P20" t="s">
        <v>66</v>
      </c>
    </row>
    <row r="21" spans="1:17" ht="15.6" x14ac:dyDescent="0.3">
      <c r="B21" s="32" t="s">
        <v>76</v>
      </c>
      <c r="C21" s="32" t="s">
        <v>8</v>
      </c>
      <c r="D21" s="32" t="s">
        <v>13</v>
      </c>
      <c r="E21" s="32" t="s">
        <v>16</v>
      </c>
      <c r="F21" s="32" t="s">
        <v>21</v>
      </c>
      <c r="G21" s="32" t="s">
        <v>28</v>
      </c>
      <c r="H21" s="32" t="s">
        <v>30</v>
      </c>
      <c r="I21" s="32" t="s">
        <v>39</v>
      </c>
      <c r="J21" s="32" t="s">
        <v>42</v>
      </c>
      <c r="K21" s="32" t="s">
        <v>33</v>
      </c>
      <c r="L21" s="32" t="s">
        <v>36</v>
      </c>
      <c r="M21" s="32" t="s">
        <v>81</v>
      </c>
      <c r="N21" s="32" t="s">
        <v>79</v>
      </c>
      <c r="O21" s="32" t="s">
        <v>80</v>
      </c>
      <c r="P21" s="32" t="s">
        <v>25</v>
      </c>
      <c r="Q21" s="32" t="s">
        <v>207</v>
      </c>
    </row>
    <row r="22" spans="1:17" x14ac:dyDescent="0.3">
      <c r="A22" s="27" t="s">
        <v>201</v>
      </c>
      <c r="B22" s="28">
        <v>13.34</v>
      </c>
      <c r="C22" s="28">
        <v>26.81</v>
      </c>
      <c r="D22" s="28">
        <v>25.61</v>
      </c>
      <c r="E22" s="28">
        <v>20.34</v>
      </c>
      <c r="F22" s="28">
        <v>26.77</v>
      </c>
      <c r="G22" s="28">
        <v>23.37</v>
      </c>
      <c r="H22" s="30">
        <v>20.04</v>
      </c>
      <c r="I22" s="28">
        <v>21.85</v>
      </c>
      <c r="J22" s="28">
        <v>19.54</v>
      </c>
      <c r="K22" s="28">
        <v>16.89</v>
      </c>
      <c r="L22" s="28">
        <v>17.34</v>
      </c>
      <c r="M22" s="30">
        <v>20.34</v>
      </c>
      <c r="N22" s="28">
        <v>19.54</v>
      </c>
      <c r="O22" s="28">
        <v>20.05</v>
      </c>
      <c r="P22" s="28">
        <v>26.52</v>
      </c>
    </row>
    <row r="23" spans="1:17" x14ac:dyDescent="0.3">
      <c r="A23" s="27" t="s">
        <v>202</v>
      </c>
      <c r="B23" s="28">
        <v>2.36</v>
      </c>
      <c r="C23" s="28">
        <v>2.84</v>
      </c>
      <c r="D23" s="28">
        <v>5.73</v>
      </c>
      <c r="E23" s="28">
        <v>0.93</v>
      </c>
      <c r="F23" s="28">
        <v>0.78</v>
      </c>
      <c r="G23" s="28">
        <v>2.15</v>
      </c>
      <c r="H23" s="30">
        <v>2.85</v>
      </c>
      <c r="I23" s="28">
        <v>0.08</v>
      </c>
      <c r="J23" s="28">
        <v>1.47</v>
      </c>
      <c r="K23" s="28">
        <v>0.87</v>
      </c>
      <c r="L23" s="28">
        <v>3.17</v>
      </c>
      <c r="M23" s="30">
        <v>0.93</v>
      </c>
      <c r="N23" s="28">
        <v>1.47</v>
      </c>
      <c r="O23" s="28">
        <v>0.36</v>
      </c>
      <c r="P23" s="28">
        <v>2.9</v>
      </c>
    </row>
    <row r="24" spans="1:17" x14ac:dyDescent="0.3">
      <c r="A24" s="27" t="s">
        <v>203</v>
      </c>
      <c r="B24" s="28">
        <v>0.11</v>
      </c>
      <c r="C24" s="28">
        <v>0.4</v>
      </c>
      <c r="D24" s="28">
        <v>0.76</v>
      </c>
      <c r="E24" s="28">
        <v>0.13</v>
      </c>
      <c r="F24" s="28">
        <v>0.05</v>
      </c>
      <c r="G24" s="28">
        <v>0.17</v>
      </c>
      <c r="H24" s="30">
        <v>0.18</v>
      </c>
      <c r="I24" s="28">
        <v>0.08</v>
      </c>
      <c r="J24" s="28">
        <v>0.36</v>
      </c>
      <c r="K24" s="28">
        <v>0.13</v>
      </c>
      <c r="L24" s="28">
        <v>0.11</v>
      </c>
      <c r="M24" s="30">
        <v>0.18</v>
      </c>
      <c r="N24" s="28">
        <v>0.36</v>
      </c>
      <c r="O24" s="28">
        <v>0.03</v>
      </c>
      <c r="P24" s="28">
        <v>0.63</v>
      </c>
    </row>
    <row r="25" spans="1:17" x14ac:dyDescent="0.3">
      <c r="A25" s="27" t="s">
        <v>204</v>
      </c>
      <c r="B25" s="28">
        <v>35</v>
      </c>
      <c r="C25" s="28">
        <v>15</v>
      </c>
      <c r="D25" s="28">
        <v>17</v>
      </c>
      <c r="E25" s="28">
        <v>0</v>
      </c>
      <c r="F25" s="28">
        <v>18</v>
      </c>
      <c r="G25" s="28">
        <v>25</v>
      </c>
      <c r="H25" s="30">
        <v>23</v>
      </c>
      <c r="I25" s="28">
        <v>20</v>
      </c>
      <c r="J25" s="28">
        <v>12</v>
      </c>
      <c r="K25" s="28">
        <v>29</v>
      </c>
      <c r="L25" s="28">
        <v>29</v>
      </c>
      <c r="M25" s="30">
        <v>23</v>
      </c>
      <c r="N25" s="28">
        <v>28</v>
      </c>
      <c r="O25" s="28">
        <v>38</v>
      </c>
      <c r="P25" s="28">
        <v>17</v>
      </c>
    </row>
    <row r="30" spans="1:17" x14ac:dyDescent="0.3">
      <c r="C30" t="s">
        <v>143</v>
      </c>
      <c r="D30" t="s">
        <v>210</v>
      </c>
      <c r="E30" t="s">
        <v>197</v>
      </c>
    </row>
    <row r="31" spans="1:17" x14ac:dyDescent="0.3">
      <c r="B31" s="9" t="s">
        <v>76</v>
      </c>
      <c r="C31" s="24">
        <v>13.34</v>
      </c>
      <c r="D31" s="24">
        <v>2.36</v>
      </c>
      <c r="E31" s="24">
        <v>0.11</v>
      </c>
      <c r="G31" t="s">
        <v>211</v>
      </c>
    </row>
    <row r="32" spans="1:17" x14ac:dyDescent="0.3">
      <c r="B32" s="5" t="s">
        <v>8</v>
      </c>
      <c r="C32" s="1">
        <v>26.81</v>
      </c>
      <c r="D32" s="14" t="s">
        <v>167</v>
      </c>
      <c r="E32" s="14" t="s">
        <v>167</v>
      </c>
      <c r="G32" t="s">
        <v>212</v>
      </c>
    </row>
    <row r="33" spans="2:5" x14ac:dyDescent="0.3">
      <c r="B33" s="9" t="s">
        <v>21</v>
      </c>
      <c r="C33" s="1">
        <v>26.77</v>
      </c>
      <c r="D33" s="1">
        <v>0.78</v>
      </c>
      <c r="E33" s="1">
        <v>0.05</v>
      </c>
    </row>
    <row r="34" spans="2:5" x14ac:dyDescent="0.3">
      <c r="B34" s="5" t="s">
        <v>33</v>
      </c>
      <c r="C34" s="1">
        <v>16.89</v>
      </c>
      <c r="D34" s="1">
        <v>0.87</v>
      </c>
      <c r="E34" s="1">
        <v>0.13</v>
      </c>
    </row>
    <row r="35" spans="2:5" x14ac:dyDescent="0.3">
      <c r="B35" s="5" t="s">
        <v>79</v>
      </c>
      <c r="C35" s="25">
        <v>19.54</v>
      </c>
      <c r="D35" s="3">
        <v>1.47</v>
      </c>
      <c r="E35" s="25">
        <v>0.36</v>
      </c>
    </row>
    <row r="36" spans="2:5" x14ac:dyDescent="0.3">
      <c r="B36" s="9" t="s">
        <v>30</v>
      </c>
      <c r="C36" s="25">
        <v>20.04</v>
      </c>
      <c r="D36" s="25">
        <v>2.85</v>
      </c>
      <c r="E36" s="25">
        <v>0.18</v>
      </c>
    </row>
    <row r="37" spans="2:5" x14ac:dyDescent="0.3">
      <c r="B37" s="9" t="s">
        <v>13</v>
      </c>
      <c r="C37" s="24">
        <v>25.61</v>
      </c>
      <c r="D37" s="24">
        <v>5.73</v>
      </c>
      <c r="E37" s="24">
        <v>0.76</v>
      </c>
    </row>
    <row r="38" spans="2:5" x14ac:dyDescent="0.3">
      <c r="B38" s="9" t="s">
        <v>25</v>
      </c>
      <c r="C38" s="1">
        <v>26.52</v>
      </c>
      <c r="D38" s="1">
        <v>2.9</v>
      </c>
      <c r="E38" s="1">
        <v>0.63</v>
      </c>
    </row>
    <row r="39" spans="2:5" x14ac:dyDescent="0.3">
      <c r="B39" s="9" t="s">
        <v>16</v>
      </c>
      <c r="C39" s="25">
        <v>20.34</v>
      </c>
      <c r="D39" s="25">
        <v>0.93</v>
      </c>
      <c r="E39" s="25">
        <v>0.13</v>
      </c>
    </row>
    <row r="40" spans="2:5" x14ac:dyDescent="0.3">
      <c r="B40" s="5" t="s">
        <v>36</v>
      </c>
      <c r="C40" s="1">
        <v>17.34</v>
      </c>
      <c r="D40" s="1">
        <v>3.17</v>
      </c>
      <c r="E40" s="14" t="s">
        <v>167</v>
      </c>
    </row>
    <row r="41" spans="2:5" x14ac:dyDescent="0.3">
      <c r="B41" s="33" t="s">
        <v>81</v>
      </c>
      <c r="C41" s="34">
        <v>19.54</v>
      </c>
      <c r="D41" s="34">
        <v>1.47</v>
      </c>
      <c r="E41" s="34">
        <v>0.36</v>
      </c>
    </row>
    <row r="42" spans="2:5" x14ac:dyDescent="0.3">
      <c r="B42" s="9" t="s">
        <v>42</v>
      </c>
      <c r="C42" s="25">
        <v>20.34</v>
      </c>
      <c r="D42" s="25">
        <v>0.93</v>
      </c>
      <c r="E42" s="25">
        <v>0.18</v>
      </c>
    </row>
    <row r="43" spans="2:5" x14ac:dyDescent="0.3">
      <c r="B43" s="5" t="s">
        <v>28</v>
      </c>
      <c r="C43" s="1">
        <v>23.37</v>
      </c>
      <c r="D43" s="1">
        <v>2.15</v>
      </c>
      <c r="E43" s="1">
        <v>0.17</v>
      </c>
    </row>
    <row r="44" spans="2:5" x14ac:dyDescent="0.3">
      <c r="B44" s="5" t="s">
        <v>80</v>
      </c>
      <c r="C44" s="1">
        <v>20.05</v>
      </c>
      <c r="D44" s="14" t="s">
        <v>167</v>
      </c>
      <c r="E44" s="14" t="s">
        <v>167</v>
      </c>
    </row>
    <row r="45" spans="2:5" x14ac:dyDescent="0.3">
      <c r="B45" s="9" t="s">
        <v>39</v>
      </c>
      <c r="C45" s="1">
        <v>21.85</v>
      </c>
      <c r="D45" s="1">
        <v>0.08</v>
      </c>
      <c r="E45" s="1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monthely_data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Soussan</dc:creator>
  <cp:lastModifiedBy>Yara Soussan-Farhat</cp:lastModifiedBy>
  <dcterms:created xsi:type="dcterms:W3CDTF">2024-02-15T09:15:15Z</dcterms:created>
  <dcterms:modified xsi:type="dcterms:W3CDTF">2026-09-15T11:38:46Z</dcterms:modified>
</cp:coreProperties>
</file>